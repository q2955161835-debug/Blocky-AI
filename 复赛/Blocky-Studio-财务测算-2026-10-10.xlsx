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/>
  <xr:revisionPtr revIDLastSave="0" documentId="13_ncr:1_{CF9B39AC-2089-426F-833A-55CAC3559E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资金总览" sheetId="1" r:id="rId1"/>
    <sheet name="预算输入" sheetId="2" r:id="rId2"/>
    <sheet name="月度预算" sheetId="3" r:id="rId3"/>
    <sheet name="用量测算" sheetId="4" r:id="rId4"/>
    <sheet name="定价与利润" sheetId="5" r:id="rId5"/>
    <sheet name="来源与口径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" l="1"/>
  <c r="E14" i="5"/>
  <c r="D14" i="5"/>
  <c r="F14" i="5" s="1"/>
  <c r="G14" i="5" s="1"/>
  <c r="H13" i="5"/>
  <c r="E13" i="5"/>
  <c r="D13" i="5"/>
  <c r="F13" i="5" s="1"/>
  <c r="G13" i="5" s="1"/>
  <c r="H12" i="5"/>
  <c r="E12" i="5"/>
  <c r="D12" i="5"/>
  <c r="F12" i="5" s="1"/>
  <c r="G12" i="5" s="1"/>
  <c r="H11" i="5"/>
  <c r="E11" i="5"/>
  <c r="D11" i="5"/>
  <c r="F11" i="5" s="1"/>
  <c r="G11" i="5" s="1"/>
  <c r="B15" i="4"/>
  <c r="B14" i="4"/>
  <c r="B11" i="4"/>
  <c r="A31" i="3"/>
  <c r="A30" i="3"/>
  <c r="N29" i="3"/>
  <c r="A29" i="3"/>
  <c r="N28" i="3"/>
  <c r="L28" i="3"/>
  <c r="A28" i="3"/>
  <c r="B28" i="3" s="1"/>
  <c r="N27" i="3"/>
  <c r="L27" i="3"/>
  <c r="K27" i="3"/>
  <c r="A27" i="3"/>
  <c r="B27" i="3" s="1"/>
  <c r="N26" i="3"/>
  <c r="L26" i="3"/>
  <c r="K26" i="3"/>
  <c r="B26" i="3"/>
  <c r="A26" i="3"/>
  <c r="A25" i="3"/>
  <c r="A24" i="3"/>
  <c r="A23" i="3"/>
  <c r="B22" i="3"/>
  <c r="A22" i="3"/>
  <c r="A21" i="3"/>
  <c r="A20" i="3"/>
  <c r="A19" i="3"/>
  <c r="A18" i="3"/>
  <c r="N17" i="3"/>
  <c r="A17" i="3"/>
  <c r="A16" i="3"/>
  <c r="A15" i="3"/>
  <c r="A14" i="3"/>
  <c r="E13" i="3"/>
  <c r="D13" i="3"/>
  <c r="C13" i="3"/>
  <c r="A13" i="3"/>
  <c r="E12" i="3"/>
  <c r="D12" i="3"/>
  <c r="C12" i="3"/>
  <c r="A12" i="3"/>
  <c r="N11" i="3"/>
  <c r="E11" i="3"/>
  <c r="D11" i="3"/>
  <c r="C11" i="3"/>
  <c r="A11" i="3"/>
  <c r="E10" i="3"/>
  <c r="D10" i="3"/>
  <c r="C10" i="3"/>
  <c r="A10" i="3"/>
  <c r="E9" i="3"/>
  <c r="D9" i="3"/>
  <c r="C9" i="3"/>
  <c r="A9" i="3"/>
  <c r="L8" i="3"/>
  <c r="K8" i="3"/>
  <c r="E8" i="3"/>
  <c r="D8" i="3"/>
  <c r="C8" i="3"/>
  <c r="B8" i="3"/>
  <c r="A8" i="3"/>
  <c r="C33" i="2"/>
  <c r="C32" i="2"/>
  <c r="C31" i="2"/>
  <c r="C30" i="2"/>
  <c r="C29" i="2"/>
  <c r="C28" i="2"/>
  <c r="C27" i="2"/>
  <c r="C26" i="2"/>
  <c r="C25" i="2"/>
  <c r="C24" i="2"/>
  <c r="K28" i="3" s="1"/>
  <c r="C23" i="2"/>
  <c r="N8" i="3" s="1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B5" i="1"/>
  <c r="B16" i="4" l="1"/>
  <c r="M11" i="3"/>
  <c r="M13" i="3"/>
  <c r="M12" i="3"/>
  <c r="M10" i="3"/>
  <c r="M9" i="3"/>
  <c r="M8" i="3"/>
  <c r="B15" i="1" s="1"/>
  <c r="J27" i="3"/>
  <c r="J26" i="3"/>
  <c r="J8" i="3"/>
  <c r="J28" i="3"/>
  <c r="I27" i="3"/>
  <c r="I26" i="3"/>
  <c r="I8" i="3"/>
  <c r="C26" i="3"/>
  <c r="D26" i="3"/>
  <c r="E26" i="3"/>
  <c r="G27" i="3"/>
  <c r="G26" i="3"/>
  <c r="N31" i="3"/>
  <c r="L31" i="3"/>
  <c r="K31" i="3"/>
  <c r="B31" i="3"/>
  <c r="B30" i="3"/>
  <c r="N30" i="3"/>
  <c r="L30" i="3"/>
  <c r="K30" i="3"/>
  <c r="K29" i="3"/>
  <c r="L29" i="3"/>
  <c r="B29" i="3"/>
  <c r="K25" i="3"/>
  <c r="L25" i="3"/>
  <c r="N25" i="3"/>
  <c r="B25" i="3"/>
  <c r="B24" i="3"/>
  <c r="L24" i="3"/>
  <c r="K24" i="3"/>
  <c r="N24" i="3"/>
  <c r="B23" i="3"/>
  <c r="L23" i="3"/>
  <c r="N23" i="3"/>
  <c r="K23" i="3"/>
  <c r="L22" i="3"/>
  <c r="N22" i="3"/>
  <c r="K22" i="3"/>
  <c r="B21" i="3"/>
  <c r="L21" i="3"/>
  <c r="N21" i="3"/>
  <c r="K21" i="3"/>
  <c r="L20" i="3"/>
  <c r="N20" i="3"/>
  <c r="K20" i="3"/>
  <c r="B20" i="3"/>
  <c r="L19" i="3"/>
  <c r="K19" i="3"/>
  <c r="N19" i="3"/>
  <c r="B19" i="3"/>
  <c r="B18" i="3"/>
  <c r="K18" i="3"/>
  <c r="N18" i="3"/>
  <c r="L18" i="3"/>
  <c r="B17" i="3"/>
  <c r="L17" i="3"/>
  <c r="K17" i="3"/>
  <c r="B16" i="3"/>
  <c r="K16" i="3"/>
  <c r="L16" i="3"/>
  <c r="N16" i="3"/>
  <c r="B15" i="3"/>
  <c r="K15" i="3"/>
  <c r="C13" i="1" s="1"/>
  <c r="L15" i="3"/>
  <c r="N15" i="3"/>
  <c r="N14" i="3"/>
  <c r="B14" i="3"/>
  <c r="L14" i="3"/>
  <c r="C14" i="1" s="1"/>
  <c r="K14" i="3"/>
  <c r="N13" i="3"/>
  <c r="B13" i="3"/>
  <c r="K13" i="3"/>
  <c r="L13" i="3"/>
  <c r="N12" i="3"/>
  <c r="B12" i="3"/>
  <c r="K12" i="3"/>
  <c r="L12" i="3"/>
  <c r="K11" i="3"/>
  <c r="L11" i="3"/>
  <c r="B11" i="3"/>
  <c r="L10" i="3"/>
  <c r="N10" i="3"/>
  <c r="B10" i="3"/>
  <c r="K10" i="3"/>
  <c r="B9" i="3"/>
  <c r="L9" i="3"/>
  <c r="K9" i="3"/>
  <c r="N9" i="3"/>
  <c r="B14" i="1"/>
  <c r="B13" i="1"/>
  <c r="B16" i="1"/>
  <c r="J29" i="3"/>
  <c r="J31" i="3"/>
  <c r="J10" i="3"/>
  <c r="J15" i="3"/>
  <c r="J18" i="3"/>
  <c r="J13" i="3"/>
  <c r="J14" i="3"/>
  <c r="J30" i="3"/>
  <c r="J22" i="3"/>
  <c r="J11" i="3"/>
  <c r="J21" i="3"/>
  <c r="J20" i="3"/>
  <c r="J16" i="3"/>
  <c r="J24" i="3"/>
  <c r="J19" i="3"/>
  <c r="J9" i="3"/>
  <c r="J12" i="3"/>
  <c r="J23" i="3"/>
  <c r="J25" i="3"/>
  <c r="J17" i="3"/>
  <c r="I25" i="3"/>
  <c r="I31" i="3"/>
  <c r="I15" i="3"/>
  <c r="I24" i="3"/>
  <c r="I12" i="3"/>
  <c r="I30" i="3"/>
  <c r="I9" i="3"/>
  <c r="I20" i="3"/>
  <c r="I29" i="3"/>
  <c r="I23" i="3"/>
  <c r="I10" i="3"/>
  <c r="I18" i="3"/>
  <c r="I14" i="3"/>
  <c r="I21" i="3"/>
  <c r="I19" i="3"/>
  <c r="I16" i="3"/>
  <c r="I17" i="3"/>
  <c r="I22" i="3"/>
  <c r="I11" i="3"/>
  <c r="I13" i="3"/>
  <c r="I28" i="3"/>
  <c r="E31" i="3"/>
  <c r="D31" i="3"/>
  <c r="C31" i="3"/>
  <c r="E30" i="3"/>
  <c r="D30" i="3"/>
  <c r="C30" i="3"/>
  <c r="D16" i="3"/>
  <c r="E29" i="3"/>
  <c r="D29" i="3"/>
  <c r="C29" i="3"/>
  <c r="E18" i="3"/>
  <c r="D18" i="3"/>
  <c r="C20" i="3"/>
  <c r="D20" i="3"/>
  <c r="E20" i="3"/>
  <c r="E17" i="3"/>
  <c r="D17" i="3"/>
  <c r="C17" i="3"/>
  <c r="E16" i="3"/>
  <c r="C16" i="3"/>
  <c r="C21" i="3"/>
  <c r="D21" i="3"/>
  <c r="E21" i="3"/>
  <c r="E15" i="3"/>
  <c r="D15" i="3"/>
  <c r="C15" i="3"/>
  <c r="C22" i="3"/>
  <c r="C23" i="3"/>
  <c r="E14" i="3"/>
  <c r="D14" i="3"/>
  <c r="C14" i="3"/>
  <c r="E22" i="3"/>
  <c r="C24" i="3"/>
  <c r="D24" i="3"/>
  <c r="E24" i="3"/>
  <c r="D22" i="3"/>
  <c r="D23" i="3"/>
  <c r="E23" i="3"/>
  <c r="E19" i="3"/>
  <c r="C25" i="3"/>
  <c r="D25" i="3"/>
  <c r="E25" i="3"/>
  <c r="C18" i="3"/>
  <c r="C27" i="3"/>
  <c r="D27" i="3"/>
  <c r="E27" i="3"/>
  <c r="C28" i="3"/>
  <c r="D28" i="3"/>
  <c r="E28" i="3"/>
  <c r="D19" i="3"/>
  <c r="C19" i="3"/>
  <c r="F26" i="3"/>
  <c r="F27" i="3"/>
  <c r="G8" i="3"/>
  <c r="F8" i="3"/>
  <c r="F17" i="3"/>
  <c r="G22" i="3"/>
  <c r="F22" i="3"/>
  <c r="G17" i="3"/>
  <c r="G29" i="3"/>
  <c r="F18" i="3"/>
  <c r="G11" i="3"/>
  <c r="F11" i="3"/>
  <c r="G18" i="3"/>
  <c r="F15" i="3"/>
  <c r="F23" i="3"/>
  <c r="G23" i="3"/>
  <c r="G15" i="3"/>
  <c r="G19" i="3"/>
  <c r="F19" i="3"/>
  <c r="G10" i="3"/>
  <c r="F10" i="3"/>
  <c r="G28" i="3"/>
  <c r="F21" i="3"/>
  <c r="G13" i="3"/>
  <c r="F13" i="3"/>
  <c r="F25" i="3"/>
  <c r="F29" i="3"/>
  <c r="F30" i="3"/>
  <c r="G9" i="3"/>
  <c r="B17" i="4"/>
  <c r="G25" i="3"/>
  <c r="G30" i="3"/>
  <c r="F31" i="3"/>
  <c r="G31" i="3"/>
  <c r="G12" i="3"/>
  <c r="F12" i="3"/>
  <c r="F16" i="3"/>
  <c r="G14" i="3"/>
  <c r="F20" i="3"/>
  <c r="F14" i="3"/>
  <c r="G21" i="3"/>
  <c r="F24" i="3"/>
  <c r="G24" i="3"/>
  <c r="F28" i="3"/>
  <c r="G16" i="3"/>
  <c r="G20" i="3"/>
  <c r="F9" i="3"/>
  <c r="C16" i="1" l="1"/>
  <c r="M26" i="3"/>
  <c r="D16" i="1"/>
  <c r="D14" i="1"/>
  <c r="D13" i="1"/>
  <c r="M30" i="3"/>
  <c r="M15" i="3"/>
  <c r="M29" i="3"/>
  <c r="M18" i="3"/>
  <c r="M31" i="3"/>
  <c r="M16" i="3"/>
  <c r="M14" i="3"/>
  <c r="M24" i="3"/>
  <c r="D11" i="1"/>
  <c r="B11" i="1"/>
  <c r="C11" i="1"/>
  <c r="B9" i="1"/>
  <c r="C9" i="1"/>
  <c r="D9" i="1"/>
  <c r="B8" i="1"/>
  <c r="C8" i="1"/>
  <c r="D8" i="1"/>
  <c r="H27" i="3"/>
  <c r="H26" i="3"/>
  <c r="H9" i="3"/>
  <c r="Q9" i="3" s="1"/>
  <c r="H10" i="3"/>
  <c r="H11" i="3"/>
  <c r="H8" i="3"/>
  <c r="H12" i="3"/>
  <c r="H13" i="3"/>
  <c r="H14" i="3"/>
  <c r="H15" i="3"/>
  <c r="H16" i="3"/>
  <c r="H17" i="3"/>
  <c r="H18" i="3"/>
  <c r="H19" i="3"/>
  <c r="H20" i="3"/>
  <c r="H21" i="3"/>
  <c r="H22" i="3"/>
  <c r="H24" i="3"/>
  <c r="H23" i="3"/>
  <c r="H25" i="3"/>
  <c r="H28" i="3"/>
  <c r="H29" i="3"/>
  <c r="H30" i="3"/>
  <c r="H31" i="3"/>
  <c r="M20" i="3"/>
  <c r="M21" i="3"/>
  <c r="M22" i="3"/>
  <c r="M23" i="3"/>
  <c r="M25" i="3"/>
  <c r="M17" i="3"/>
  <c r="M27" i="3"/>
  <c r="M28" i="3"/>
  <c r="M19" i="3"/>
  <c r="D12" i="1"/>
  <c r="B12" i="1"/>
  <c r="C12" i="1"/>
  <c r="Q22" i="3" l="1"/>
  <c r="Q23" i="3"/>
  <c r="Q25" i="3"/>
  <c r="C15" i="1"/>
  <c r="Q26" i="3"/>
  <c r="Q10" i="3"/>
  <c r="Q11" i="3"/>
  <c r="Q8" i="3"/>
  <c r="B10" i="1"/>
  <c r="B18" i="1" s="1"/>
  <c r="C10" i="1"/>
  <c r="D10" i="1"/>
  <c r="R8" i="3"/>
  <c r="T8" i="3" s="1"/>
  <c r="Q12" i="3"/>
  <c r="Q13" i="3"/>
  <c r="B19" i="1" s="1"/>
  <c r="Q14" i="3"/>
  <c r="Q15" i="3"/>
  <c r="Q16" i="3"/>
  <c r="Q18" i="3"/>
  <c r="Q24" i="3"/>
  <c r="Q29" i="3"/>
  <c r="Q30" i="3"/>
  <c r="Q31" i="3"/>
  <c r="D19" i="1" s="1"/>
  <c r="Q20" i="3"/>
  <c r="Q17" i="3"/>
  <c r="Q27" i="3"/>
  <c r="Q28" i="3"/>
  <c r="Q19" i="3"/>
  <c r="C19" i="1" s="1"/>
  <c r="Q21" i="3"/>
  <c r="D15" i="1"/>
  <c r="C18" i="1" l="1"/>
  <c r="S8" i="3"/>
  <c r="O8" i="3"/>
  <c r="D18" i="1"/>
  <c r="R9" i="3" l="1"/>
  <c r="S9" i="3" s="1"/>
  <c r="P8" i="3"/>
  <c r="T9" i="3" l="1"/>
  <c r="O9" i="3"/>
  <c r="R10" i="3"/>
  <c r="S10" i="3" s="1"/>
  <c r="P9" i="3" l="1"/>
  <c r="T10" i="3"/>
  <c r="O10" i="3"/>
  <c r="R11" i="3"/>
  <c r="S11" i="3" s="1"/>
  <c r="T11" i="3" l="1"/>
  <c r="O11" i="3"/>
  <c r="R12" i="3"/>
  <c r="S12" i="3" s="1"/>
  <c r="P10" i="3"/>
  <c r="P11" i="3" l="1"/>
  <c r="T12" i="3"/>
  <c r="O12" i="3"/>
  <c r="R13" i="3"/>
  <c r="S13" i="3" s="1"/>
  <c r="P12" i="3" l="1"/>
  <c r="T13" i="3"/>
  <c r="O13" i="3"/>
  <c r="B17" i="1" s="1"/>
  <c r="B20" i="1" s="1"/>
  <c r="B21" i="1" s="1"/>
  <c r="B22" i="1" s="1"/>
  <c r="R14" i="3"/>
  <c r="S14" i="3" s="1"/>
  <c r="T14" i="3" l="1"/>
  <c r="O14" i="3"/>
  <c r="P14" i="3" s="1"/>
  <c r="R15" i="3"/>
  <c r="S15" i="3" s="1"/>
  <c r="P13" i="3"/>
  <c r="T15" i="3" l="1"/>
  <c r="O15" i="3"/>
  <c r="R16" i="3"/>
  <c r="S16" i="3" s="1"/>
  <c r="P15" i="3" l="1"/>
  <c r="T16" i="3"/>
  <c r="O16" i="3"/>
  <c r="P16" i="3" s="1"/>
  <c r="R17" i="3"/>
  <c r="S17" i="3" s="1"/>
  <c r="T17" i="3" l="1"/>
  <c r="O17" i="3"/>
  <c r="R18" i="3"/>
  <c r="S18" i="3" s="1"/>
  <c r="P17" i="3" l="1"/>
  <c r="T18" i="3"/>
  <c r="O18" i="3"/>
  <c r="P18" i="3" s="1"/>
  <c r="R19" i="3"/>
  <c r="S19" i="3" s="1"/>
  <c r="T19" i="3" l="1"/>
  <c r="O19" i="3"/>
  <c r="R20" i="3"/>
  <c r="S20" i="3" s="1"/>
  <c r="P19" i="3" l="1"/>
  <c r="C17" i="1"/>
  <c r="C20" i="1" s="1"/>
  <c r="C21" i="1" s="1"/>
  <c r="C22" i="1" s="1"/>
  <c r="T20" i="3"/>
  <c r="O20" i="3"/>
  <c r="P20" i="3" s="1"/>
  <c r="R21" i="3"/>
  <c r="S21" i="3" s="1"/>
  <c r="T21" i="3" l="1"/>
  <c r="O21" i="3"/>
  <c r="R22" i="3"/>
  <c r="S22" i="3" s="1"/>
  <c r="P21" i="3" l="1"/>
  <c r="T22" i="3"/>
  <c r="O22" i="3"/>
  <c r="P22" i="3" s="1"/>
  <c r="R23" i="3"/>
  <c r="S23" i="3" s="1"/>
  <c r="T23" i="3" l="1"/>
  <c r="O23" i="3"/>
  <c r="R24" i="3"/>
  <c r="S24" i="3" s="1"/>
  <c r="P23" i="3" l="1"/>
  <c r="T24" i="3"/>
  <c r="O24" i="3"/>
  <c r="P24" i="3" s="1"/>
  <c r="R25" i="3"/>
  <c r="S25" i="3" s="1"/>
  <c r="T25" i="3" l="1"/>
  <c r="O25" i="3"/>
  <c r="R26" i="3"/>
  <c r="S26" i="3" s="1"/>
  <c r="P25" i="3" l="1"/>
  <c r="T26" i="3"/>
  <c r="O26" i="3"/>
  <c r="P26" i="3" s="1"/>
  <c r="R27" i="3"/>
  <c r="S27" i="3" s="1"/>
  <c r="T27" i="3" l="1"/>
  <c r="O27" i="3"/>
  <c r="R28" i="3"/>
  <c r="S28" i="3" s="1"/>
  <c r="P27" i="3" l="1"/>
  <c r="T28" i="3"/>
  <c r="O28" i="3"/>
  <c r="P28" i="3" s="1"/>
  <c r="R29" i="3"/>
  <c r="S29" i="3" s="1"/>
  <c r="T29" i="3" l="1"/>
  <c r="O29" i="3"/>
  <c r="R30" i="3"/>
  <c r="S30" i="3" s="1"/>
  <c r="P29" i="3" l="1"/>
  <c r="T30" i="3"/>
  <c r="O30" i="3"/>
  <c r="P30" i="3" s="1"/>
  <c r="R31" i="3"/>
  <c r="S31" i="3" s="1"/>
  <c r="T31" i="3" l="1"/>
  <c r="O31" i="3"/>
  <c r="P31" i="3" l="1"/>
  <c r="D17" i="1"/>
  <c r="D20" i="1" s="1"/>
  <c r="D21" i="1" s="1"/>
  <c r="D22" i="1" s="1"/>
</calcChain>
</file>

<file path=xl/sharedStrings.xml><?xml version="1.0" encoding="utf-8"?>
<sst xmlns="http://schemas.openxmlformats.org/spreadsheetml/2006/main" count="277" uniqueCount="239">
  <si>
    <t>Blocky · 近期必要投入与阶段资金</t>
  </si>
  <si>
    <t>近期以12个月完善产品及小范围教育验证为基准；后续OPC、企业与多端按关口续投。</t>
  </si>
  <si>
    <t>当前情景</t>
  </si>
  <si>
    <t>资金项目（万元）</t>
  </si>
  <si>
    <t>6个月</t>
  </si>
  <si>
    <t>12个月</t>
  </si>
  <si>
    <t>24个月</t>
  </si>
  <si>
    <t>团队工资及附加</t>
  </si>
  <si>
    <t>5席Pro订阅</t>
  </si>
  <si>
    <t>研发API测试</t>
  </si>
  <si>
    <t>基础设施</t>
  </si>
  <si>
    <t>一般运营</t>
  </si>
  <si>
    <t>专项技术交付</t>
  </si>
  <si>
    <t>教学验证材料</t>
  </si>
  <si>
    <t>条件试用API</t>
  </si>
  <si>
    <t>增量测试设备</t>
  </si>
  <si>
    <t>预算现金支出</t>
  </si>
  <si>
    <t>支出风险预留</t>
  </si>
  <si>
    <t>正常运营现金储备</t>
  </si>
  <si>
    <t>最低追加资金</t>
  </si>
  <si>
    <t>取整覆盖目标</t>
  </si>
  <si>
    <t>取整余量</t>
  </si>
  <si>
    <t>资金目标＝预算现金＋风险预留＋期末经常性月成本×储备月数－确认现金，按10万元向上取整。6/12/24月为不同覆盖期，不能相加。合作费、预付、保证金目前未报价；预付与使用成本不双算。设备只计增量采购现金，折旧不重复相加。</t>
  </si>
  <si>
    <t>情景快照（万元）</t>
  </si>
  <si>
    <t>12月现金</t>
  </si>
  <si>
    <t>12月最低</t>
  </si>
  <si>
    <t>12月覆盖目标</t>
  </si>
  <si>
    <t>24月覆盖目标</t>
  </si>
  <si>
    <t>节约</t>
  </si>
  <si>
    <t>基准</t>
  </si>
  <si>
    <t>高投入</t>
  </si>
  <si>
    <t>三情景快照由B5选择器逐次重算并保存，日期2026-10-10；修改输入后请逐项选择并刷新快照。上方当前情景输出实时联动。基准税前1.2万元、附加25%与汇率7为假设；不包含融资交易及创始人股权估值。未知收入不抵减。</t>
  </si>
  <si>
    <t>五人团队 · 可调整预算输入</t>
  </si>
  <si>
    <t>修改B5选择情景（1节约、2基准、3高投入）；蓝色数字可编辑。C列由同一选择器驱动。</t>
  </si>
  <si>
    <t>选择情景</t>
  </si>
  <si>
    <t>参数</t>
  </si>
  <si>
    <t>单位</t>
  </si>
  <si>
    <t>依据与边界</t>
  </si>
  <si>
    <t>团队人数</t>
  </si>
  <si>
    <t>人</t>
  </si>
  <si>
    <t>按5个需计薪资源及5个独立订阅席位规划</t>
  </si>
  <si>
    <t>每人税前月薪</t>
  </si>
  <si>
    <t>元/人月</t>
  </si>
  <si>
    <t>工资未确认；基准1.2万元为假设，W1仅参照</t>
  </si>
  <si>
    <t>雇主附加成本比例</t>
  </si>
  <si>
    <t>比例</t>
  </si>
  <si>
    <t>社保公积金等预算比例，非地方缴费法定费率</t>
  </si>
  <si>
    <t>每人Pro月费</t>
  </si>
  <si>
    <t>美元/人月</t>
  </si>
  <si>
    <t>O1/O2；用户高用量方向按当前最高Pro500核算</t>
  </si>
  <si>
    <t>预算汇率</t>
  </si>
  <si>
    <t>元/美元</t>
  </si>
  <si>
    <t>规划汇率，非即期汇率；税费及额外额度需按实收修订</t>
  </si>
  <si>
    <t>研发API任务量</t>
  </si>
  <si>
    <t>任务/人月</t>
  </si>
  <si>
    <t>独立于Pro订阅的产品模型回归预算，不是实际账单</t>
  </si>
  <si>
    <t>研发API每任务调用</t>
  </si>
  <si>
    <t>调用/任务</t>
  </si>
  <si>
    <t>假设；包括已规划重试，实际新增调用需计入</t>
  </si>
  <si>
    <t>每调用计费输入</t>
  </si>
  <si>
    <t>Token/调用</t>
  </si>
  <si>
    <t>累计输入含上下文；示例每轮均计费，无缓存折扣</t>
  </si>
  <si>
    <t>每调用计费输出</t>
  </si>
  <si>
    <t>累计输出预算；含供应商计费思考Token时应计入</t>
  </si>
  <si>
    <t>专业任务频次</t>
  </si>
  <si>
    <t>暂无专业长任务账单；情景参数，不使用工具订阅反推</t>
  </si>
  <si>
    <t>专业每任务调用</t>
  </si>
  <si>
    <t>多轮任务情景；按总计费输入/输出重算</t>
  </si>
  <si>
    <t>条件试用人数倍数</t>
  </si>
  <si>
    <t>倍</t>
  </si>
  <si>
    <t>仅平台承担的短期试用用户；BYOK和本地用户不计</t>
  </si>
  <si>
    <t>其他云资源预留倍数</t>
  </si>
  <si>
    <t>存储、备份、下载、监控等容量预留；非厂商报价</t>
  </si>
  <si>
    <t>一般运营月度预算</t>
  </si>
  <si>
    <t>元/月</t>
  </si>
  <si>
    <t>财务、域名、基础工具、文档及社区发布材料；假设</t>
  </si>
  <si>
    <t>首年增量设备采购上限</t>
  </si>
  <si>
    <t>元</t>
  </si>
  <si>
    <t>已有设备未确认；按所需Mac及手机测试等采购抵减</t>
  </si>
  <si>
    <t>专项技术年度上限</t>
  </si>
  <si>
    <t>元/年</t>
  </si>
  <si>
    <t>签名、跨端测试与安全等专项；不重复核心团队研发薪酬</t>
  </si>
  <si>
    <t>首年教学验证材料上限</t>
  </si>
  <si>
    <t>场地、耗材与活动等；教师和产品人员报酬不重复计入</t>
  </si>
  <si>
    <t>支出风险预留比例</t>
  </si>
  <si>
    <t>现金风险缓冲，非已发生费用</t>
  </si>
  <si>
    <t>运营储备月数</t>
  </si>
  <si>
    <t>月</t>
  </si>
  <si>
    <t>期末经常性月支出×月数；不重复年度运营支出</t>
  </si>
  <si>
    <t>已确认自有现金</t>
  </si>
  <si>
    <t>未确认，不抵减；0是未录入，不表示实际资产为零</t>
  </si>
  <si>
    <t>非退合作费</t>
  </si>
  <si>
    <t>无报价，不虚设30万元；合同明确后录入</t>
  </si>
  <si>
    <t>模型额度预付</t>
  </si>
  <si>
    <t>无报价；第1月付款，按研发及试用API消耗抵扣</t>
  </si>
  <si>
    <t>可退保证金</t>
  </si>
  <si>
    <t>无报价；现金占用，不计费用</t>
  </si>
  <si>
    <t>已确认首期收款</t>
  </si>
  <si>
    <t>未签合同，不依赖未知收入抵减；仅已确认现金录入</t>
  </si>
  <si>
    <t>条件试用启动开关</t>
  </si>
  <si>
    <t>0/1</t>
  </si>
  <si>
    <t>第7月为最早规划窗口；未通过产品关口设0或推迟人数</t>
  </si>
  <si>
    <t>基础设施：普通CPU服务与数据库，不自建大模型GPU集群</t>
  </si>
  <si>
    <t>月份阶段</t>
  </si>
  <si>
    <t>应用实例数</t>
  </si>
  <si>
    <t>数据库实例数</t>
  </si>
  <si>
    <t>实例单价元/月</t>
  </si>
  <si>
    <t>其他资源预留元/月</t>
  </si>
  <si>
    <t>说明</t>
  </si>
  <si>
    <t>1–6月</t>
  </si>
  <si>
    <t>备份、存储、下载及监控额度预留</t>
  </si>
  <si>
    <t>7–12月</t>
  </si>
  <si>
    <t>普通轻量实例；不承诺高可用SLA</t>
  </si>
  <si>
    <t>13–24月</t>
  </si>
  <si>
    <t>按实际流量、并发及数据库需求扩容</t>
  </si>
  <si>
    <t>最早月份</t>
  </si>
  <si>
    <t>学生条件人数</t>
  </si>
  <si>
    <t>教师条件人数</t>
  </si>
  <si>
    <t>专业条件人数</t>
  </si>
  <si>
    <t>5人均计薪、各自独立Pro订阅。工资与已有设备尚未确认；本表不是工资账本。客户规模和专业用量未实测，采购前用实际账单替换。第7月试用须产品、内容、许可和组织关口通过；未通过时关闭开关或后移人数。</t>
  </si>
  <si>
    <t>24个月单一月度模型（金额：人民币元）</t>
  </si>
  <si>
    <t>2026-11至2028-10；全部为规划月份。预付余额按API消耗抵扣，保证金占用现金，不加入费用。所有金额未以未知收入抵减。</t>
  </si>
  <si>
    <t>月序</t>
  </si>
  <si>
    <t>月份</t>
  </si>
  <si>
    <t>学生</t>
  </si>
  <si>
    <t>教师</t>
  </si>
  <si>
    <t>专业</t>
  </si>
  <si>
    <t>人力总成本</t>
  </si>
  <si>
    <t>Pro订阅</t>
  </si>
  <si>
    <t>研发API成本</t>
  </si>
  <si>
    <t>专项交付</t>
  </si>
  <si>
    <t>教学验证</t>
  </si>
  <si>
    <t>试用API成本</t>
  </si>
  <si>
    <t>设备购置</t>
  </si>
  <si>
    <t>现金支出</t>
  </si>
  <si>
    <t>累计现金</t>
  </si>
  <si>
    <t>经常性月成本</t>
  </si>
  <si>
    <t>预付抵扣</t>
  </si>
  <si>
    <t>期末预付余额</t>
  </si>
  <si>
    <t>API现金付费</t>
  </si>
  <si>
    <t>研发订阅与产品API分开计算</t>
  </si>
  <si>
    <t>指标</t>
  </si>
  <si>
    <t>值</t>
  </si>
  <si>
    <t>依据</t>
  </si>
  <si>
    <t>短任务累计输入</t>
  </si>
  <si>
    <t>Token</t>
  </si>
  <si>
    <t>U1：10任务、30响应</t>
  </si>
  <si>
    <t>短任务累计输出</t>
  </si>
  <si>
    <t>含有回执的输出；覆盖不完整</t>
  </si>
  <si>
    <t>有回执任务数</t>
  </si>
  <si>
    <t>任务</t>
  </si>
  <si>
    <t>非完整课堂或长Agent样本</t>
  </si>
  <si>
    <t>有回执响应数</t>
  </si>
  <si>
    <t>响应</t>
  </si>
  <si>
    <t>不推断未知失败请求免费</t>
  </si>
  <si>
    <t>Pro峰时未缓存输入价</t>
  </si>
  <si>
    <t>元/百万Token</t>
  </si>
  <si>
    <t>D1，2026-10-10</t>
  </si>
  <si>
    <t>Pro峰时输出价</t>
  </si>
  <si>
    <t>短任务重定价</t>
  </si>
  <si>
    <t>元/任务</t>
  </si>
  <si>
    <t>样本Token×当前官网价</t>
  </si>
  <si>
    <t>学生短任务频次</t>
  </si>
  <si>
    <t>频次假设</t>
  </si>
  <si>
    <t>教师短任务频次</t>
  </si>
  <si>
    <t>学生月模型成本</t>
  </si>
  <si>
    <t>短任务×假设频次</t>
  </si>
  <si>
    <t>教师月模型成本</t>
  </si>
  <si>
    <t>专业月模型成本</t>
  </si>
  <si>
    <t>任务×调用×输入/输出单价，未实测</t>
  </si>
  <si>
    <t>团队研发API月成本</t>
  </si>
  <si>
    <t>5人测试，不包含Pro订阅</t>
  </si>
  <si>
    <t>基准专业情景：20任务/月×8调用/任务×每调用2万输入、2千输出，按Pro峰时无缓存价得到37.44元/月。高投入情景100任务×32调用为748.80元/月。两者是任务强度假设；既有短任务不能证明长任务成本。缓存、空闲折扣不预先抵减；图片、检索等新增收费另录入。</t>
  </si>
  <si>
    <t>拟定套餐：收入、模型成本与贡献利润</t>
  </si>
  <si>
    <t>套餐暂未开放购买；贡献利润用于覆盖研发与运营，不能等同净利润。积分与Token折算尚待公布。</t>
  </si>
  <si>
    <t>成本元/积分假设</t>
  </si>
  <si>
    <t>额度使用比例</t>
  </si>
  <si>
    <t>其他可变费用率</t>
  </si>
  <si>
    <t>目标贡献率假设</t>
  </si>
  <si>
    <t>套餐</t>
  </si>
  <si>
    <t>收入元</t>
  </si>
  <si>
    <t>积分额度</t>
  </si>
  <si>
    <t>模型成本元</t>
  </si>
  <si>
    <t>其他可变费元</t>
  </si>
  <si>
    <t>贡献利润元</t>
  </si>
  <si>
    <t>贡献率</t>
  </si>
  <si>
    <t>目标成本上限</t>
  </si>
  <si>
    <t>标准月度</t>
  </si>
  <si>
    <t>进阶月度</t>
  </si>
  <si>
    <t>专业月度</t>
  </si>
  <si>
    <t>加量30天</t>
  </si>
  <si>
    <t>例：99元收入－40元模型成本－9.90元其他可变费＝49.10元贡献利润。0.02元/积分与10%费用均为测算假设，未与真实扣分映射；把B5改为0.04可查看高成本结果。逐模型费率、账单与任务结果明确后再决定售价和额度。月额度当期有效、不结转；BYOK、组织服务和未来应用订阅独立核算。</t>
  </si>
  <si>
    <t>官方核价与事实边界 · 2026-10-10</t>
  </si>
  <si>
    <t>ID</t>
  </si>
  <si>
    <t>来源</t>
  </si>
  <si>
    <t>采用内容</t>
  </si>
  <si>
    <t>公开出处</t>
  </si>
  <si>
    <t>核对日</t>
  </si>
  <si>
    <t>性质</t>
  </si>
  <si>
    <t>O1</t>
  </si>
  <si>
    <t>OpenAI Pro</t>
  </si>
  <si>
    <t>500 USD / 席 / 月；月付，不保证50倍额度</t>
  </si>
  <si>
    <t>https://learn.chatgpt.com/docs/pricing</t>
  </si>
  <si>
    <t>2026-10-10</t>
  </si>
  <si>
    <t>官方价格</t>
  </si>
  <si>
    <t>O2</t>
  </si>
  <si>
    <t>Pro套餐与用量限制</t>
  </si>
  <si>
    <t>100 / 200 / 500 USD；额外使用可能需加购</t>
  </si>
  <si>
    <t>https://help.openai.com/en/articles/9793128-about-chatgpt-pro-tiers</t>
  </si>
  <si>
    <t>官方说明</t>
  </si>
  <si>
    <t>D1</t>
  </si>
  <si>
    <t>DeepSeek Pro峰时</t>
  </si>
  <si>
    <t>未命中输入9、输出27元 / 百万Token</t>
  </si>
  <si>
    <t>https://api-docs.deepseek.com/zh-cn/quick_start/pricing/</t>
  </si>
  <si>
    <t>D2</t>
  </si>
  <si>
    <t>DeepSeek Flash峰时</t>
  </si>
  <si>
    <t>未命中输入2、输出8元 / 百万Token</t>
  </si>
  <si>
    <t>备选价格；非质量等效承诺</t>
  </si>
  <si>
    <t>C1</t>
  </si>
  <si>
    <t>腾讯云内地轻量实例</t>
  </si>
  <si>
    <t>2核4GB 80元/月；4核8GB 230元/月</t>
  </si>
  <si>
    <t>https://cloud.tencent.com/document/product/1207/119345</t>
  </si>
  <si>
    <t>刊例价；下单复核地域与配置</t>
  </si>
  <si>
    <t>W1</t>
  </si>
  <si>
    <t>国家统计局2025年工资</t>
  </si>
  <si>
    <t>私营软件信息业年均128166元；非私营248752元</t>
  </si>
  <si>
    <t>https://www.stats.gov.cn/sj/zxfb/202605/t20260515_1963707.html</t>
  </si>
  <si>
    <t>数量级参照；非本团队报价</t>
  </si>
  <si>
    <t>U1</t>
  </si>
  <si>
    <t>历史短任务回执</t>
  </si>
  <si>
    <t>10任务30响应；输入76845、输出5738 Token</t>
  </si>
  <si>
    <t>Blocky历史公开汇总样本，2026-10-02</t>
  </si>
  <si>
    <t>实测样本；失败及缓存覆盖不完整</t>
  </si>
  <si>
    <t>A1</t>
  </si>
  <si>
    <t>预算假设</t>
  </si>
  <si>
    <t>工资、附加成本、汇率、调用轮数、试用规模及其他费用可调整</t>
  </si>
  <si>
    <t>本规划输入；不代表合同、工资账本或实际用户</t>
  </si>
  <si>
    <t>假设</t>
  </si>
  <si>
    <t>原900万元来自更大后期用户规模和工具使用成本参照，不是本团队当前账单。新模型按5人团队和近期任务采购；历史10任务Token仅支持短任务估算。工资、客户合同、供应商合作费和真实长任务成本尚未确认。软件规划仍涵盖教育、专业、OPC和企业；预算期和能力开放按实际关口调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</si>
</sst>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;\(#,##0.00\);\–"/>
    <numFmt numFmtId="177" formatCode="0.0%"/>
    <numFmt numFmtId="178" formatCode="0.000000"/>
    <numFmt numFmtId="179" formatCode="yyyy\-mm"/>
    <numFmt numFmtId="180" formatCode="0.0"/>
    <numFmt numFmtId="181" formatCode="0.000;[Red]\(0.000\);\–"/>
    <numFmt numFmtId="182" formatCode="0.0000"/>
    <numFmt numFmtId="183" formatCode="0.00000"/>
    <numFmt numFmtId="184" formatCode="0.000"/>
  </numFmts>
  <fonts count="11">
    <font>
      <sz val="11"/>
      <name val="Carlito"/>
    </font>
    <font>
      <sz val="11"/>
      <color rgb="FF163D32"/>
      <name val="Microsoft YaHei"/>
      <family val="2"/>
      <charset val="134"/>
    </font>
    <font>
      <b/>
      <sz val="18"/>
      <color rgb="FFFFFFFF"/>
      <name val="Microsoft YaHei"/>
      <family val="2"/>
      <charset val="134"/>
    </font>
    <font>
      <b/>
      <sz val="11"/>
      <color rgb="FF205CA8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color rgb="FF205CA8"/>
      <name val="Microsoft YaHei"/>
      <family val="2"/>
      <charset val="134"/>
    </font>
    <font>
      <sz val="11"/>
      <color rgb="FF142F27"/>
      <name val="Microsoft YaHei"/>
      <family val="2"/>
      <charset val="134"/>
    </font>
    <font>
      <sz val="11"/>
      <color rgb="FF08766C"/>
      <name val="Microsoft YaHei"/>
      <family val="2"/>
      <charset val="134"/>
    </font>
    <font>
      <b/>
      <sz val="11"/>
      <color rgb="FF163D32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63D32"/>
      </patternFill>
    </fill>
    <fill>
      <patternFill patternType="solid">
        <fgColor rgb="FFE6F1FB"/>
      </patternFill>
    </fill>
    <fill>
      <patternFill patternType="solid">
        <fgColor rgb="FFD5EC7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1" fillId="0" borderId="0" xfId="1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176" fontId="5" fillId="0" borderId="0" xfId="1" applyNumberFormat="1" applyFont="1" applyAlignment="1">
      <alignment vertical="center" wrapText="1"/>
    </xf>
    <xf numFmtId="177" fontId="1" fillId="0" borderId="0" xfId="1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178" fontId="6" fillId="0" borderId="0" xfId="1" applyNumberFormat="1" applyFont="1" applyAlignment="1">
      <alignment vertical="center" wrapText="1"/>
    </xf>
    <xf numFmtId="178" fontId="7" fillId="0" borderId="0" xfId="1" applyNumberFormat="1" applyFont="1" applyAlignment="1">
      <alignment vertical="center" wrapText="1"/>
    </xf>
    <xf numFmtId="1" fontId="1" fillId="0" borderId="0" xfId="1" applyNumberFormat="1" applyFont="1" applyAlignment="1">
      <alignment vertical="center" wrapText="1"/>
    </xf>
    <xf numFmtId="179" fontId="1" fillId="0" borderId="0" xfId="1" applyNumberFormat="1" applyFont="1" applyAlignment="1">
      <alignment vertical="center" wrapText="1"/>
    </xf>
    <xf numFmtId="180" fontId="1" fillId="0" borderId="0" xfId="1" applyNumberFormat="1" applyFont="1" applyAlignment="1">
      <alignment vertical="center" wrapText="1"/>
    </xf>
    <xf numFmtId="176" fontId="7" fillId="0" borderId="0" xfId="1" applyNumberFormat="1" applyFont="1" applyAlignment="1">
      <alignment vertical="center" wrapText="1"/>
    </xf>
    <xf numFmtId="181" fontId="1" fillId="0" borderId="0" xfId="1" applyNumberFormat="1" applyFont="1" applyAlignment="1">
      <alignment vertical="center" wrapText="1"/>
    </xf>
    <xf numFmtId="0" fontId="8" fillId="0" borderId="0" xfId="1" applyFont="1" applyAlignment="1">
      <alignment vertical="center" wrapText="1"/>
    </xf>
    <xf numFmtId="181" fontId="8" fillId="0" borderId="0" xfId="1" applyNumberFormat="1" applyFont="1" applyAlignment="1">
      <alignment vertical="center" wrapText="1"/>
    </xf>
    <xf numFmtId="0" fontId="8" fillId="4" borderId="0" xfId="1" applyFont="1" applyFill="1" applyAlignment="1">
      <alignment vertical="center" wrapText="1"/>
    </xf>
    <xf numFmtId="181" fontId="8" fillId="4" borderId="0" xfId="1" applyNumberFormat="1" applyFont="1" applyFill="1" applyAlignment="1">
      <alignment vertical="center" wrapText="1"/>
    </xf>
    <xf numFmtId="182" fontId="5" fillId="0" borderId="0" xfId="1" applyNumberFormat="1" applyFont="1" applyAlignment="1">
      <alignment vertical="center" wrapText="1"/>
    </xf>
    <xf numFmtId="183" fontId="1" fillId="0" borderId="0" xfId="1" applyNumberFormat="1" applyFont="1" applyAlignment="1">
      <alignment vertical="center" wrapText="1"/>
    </xf>
    <xf numFmtId="184" fontId="1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66C"/>
  </sheetPr>
  <dimension ref="A1:F37"/>
  <sheetViews>
    <sheetView showGridLines="0" tabSelected="1" workbookViewId="0">
      <pane ySplit="4" topLeftCell="A5" activePane="bottomLeft" state="frozen"/>
      <selection pane="bottomLeft" sqref="A1:F1"/>
    </sheetView>
  </sheetViews>
  <sheetFormatPr defaultRowHeight="14"/>
  <cols>
    <col min="1" max="1" width="34" customWidth="1"/>
    <col min="2" max="4" width="22" customWidth="1"/>
    <col min="5" max="5" width="18" customWidth="1"/>
    <col min="6" max="6" width="37" customWidth="1"/>
  </cols>
  <sheetData>
    <row r="1" spans="1:6" ht="42" customHeight="1">
      <c r="A1" s="25" t="s">
        <v>0</v>
      </c>
      <c r="B1" s="25"/>
      <c r="C1" s="25"/>
      <c r="D1" s="25"/>
      <c r="E1" s="25"/>
      <c r="F1" s="25"/>
    </row>
    <row r="2" spans="1:6" ht="30" customHeight="1">
      <c r="A2" s="1"/>
      <c r="B2" s="1"/>
      <c r="C2" s="1"/>
      <c r="D2" s="1"/>
      <c r="E2" s="1"/>
      <c r="F2" s="1"/>
    </row>
    <row r="3" spans="1:6" ht="30" customHeight="1">
      <c r="A3" s="26" t="s">
        <v>1</v>
      </c>
      <c r="B3" s="26"/>
      <c r="C3" s="26"/>
      <c r="D3" s="26"/>
      <c r="E3" s="1"/>
      <c r="F3" s="1"/>
    </row>
    <row r="4" spans="1:6" ht="30" customHeight="1">
      <c r="A4" s="1"/>
      <c r="B4" s="1"/>
      <c r="C4" s="1"/>
      <c r="D4" s="1"/>
      <c r="E4" s="1"/>
      <c r="F4" s="1"/>
    </row>
    <row r="5" spans="1:6" ht="30" customHeight="1">
      <c r="A5" s="1" t="s">
        <v>2</v>
      </c>
      <c r="B5" s="9" t="str">
        <f>INDEX(预算输入!D8:F8,1,预算输入!B5)</f>
        <v>基准</v>
      </c>
      <c r="C5" s="1"/>
      <c r="D5" s="1"/>
      <c r="E5" s="1"/>
      <c r="F5" s="1"/>
    </row>
    <row r="6" spans="1:6" ht="30" customHeight="1">
      <c r="A6" s="1"/>
      <c r="B6" s="1"/>
      <c r="C6" s="1"/>
      <c r="D6" s="1"/>
      <c r="E6" s="1"/>
      <c r="F6" s="1"/>
    </row>
    <row r="7" spans="1:6" ht="30" customHeight="1">
      <c r="A7" s="3" t="s">
        <v>3</v>
      </c>
      <c r="B7" s="3" t="s">
        <v>4</v>
      </c>
      <c r="C7" s="3" t="s">
        <v>5</v>
      </c>
      <c r="D7" s="3" t="s">
        <v>6</v>
      </c>
      <c r="E7" s="1"/>
      <c r="F7" s="1"/>
    </row>
    <row r="8" spans="1:6" ht="30" customHeight="1">
      <c r="A8" s="1" t="s">
        <v>7</v>
      </c>
      <c r="B8" s="17">
        <f>SUM(月度预算!F8:F13)/10000</f>
        <v>45</v>
      </c>
      <c r="C8" s="17">
        <f>SUM(月度预算!F8:F19)/10000</f>
        <v>90</v>
      </c>
      <c r="D8" s="17">
        <f>SUM(月度预算!F8:F31)/10000</f>
        <v>180</v>
      </c>
      <c r="E8" s="1"/>
      <c r="F8" s="1"/>
    </row>
    <row r="9" spans="1:6" ht="30" customHeight="1">
      <c r="A9" s="1" t="s">
        <v>8</v>
      </c>
      <c r="B9" s="17">
        <f>SUM(月度预算!G8:G13)/10000</f>
        <v>10.5</v>
      </c>
      <c r="C9" s="17">
        <f>SUM(月度预算!G8:G19)/10000</f>
        <v>21</v>
      </c>
      <c r="D9" s="17">
        <f>SUM(月度预算!G8:G31)/10000</f>
        <v>42</v>
      </c>
      <c r="E9" s="1"/>
      <c r="F9" s="1"/>
    </row>
    <row r="10" spans="1:6" ht="30" customHeight="1">
      <c r="A10" s="1" t="s">
        <v>9</v>
      </c>
      <c r="B10" s="17">
        <f>SUM(月度预算!H8:H13)/10000</f>
        <v>0.56159999999999999</v>
      </c>
      <c r="C10" s="17">
        <f>SUM(月度预算!H8:H19)/10000</f>
        <v>1.1232</v>
      </c>
      <c r="D10" s="17">
        <f>SUM(月度预算!H8:H31)/10000</f>
        <v>2.2464</v>
      </c>
      <c r="E10" s="1"/>
      <c r="F10" s="1"/>
    </row>
    <row r="11" spans="1:6" ht="30" customHeight="1">
      <c r="A11" s="1" t="s">
        <v>10</v>
      </c>
      <c r="B11" s="17">
        <f>SUM(月度预算!I8:I13)/10000</f>
        <v>0.33600000000000002</v>
      </c>
      <c r="C11" s="17">
        <f>SUM(月度预算!I8:I19)/10000</f>
        <v>1.02</v>
      </c>
      <c r="D11" s="17">
        <f>SUM(月度预算!I8:I31)/10000</f>
        <v>3.4079999999999999</v>
      </c>
      <c r="E11" s="1"/>
      <c r="F11" s="1"/>
    </row>
    <row r="12" spans="1:6" ht="30" customHeight="1">
      <c r="A12" s="1" t="s">
        <v>11</v>
      </c>
      <c r="B12" s="17">
        <f>SUM(月度预算!J8:J13)/10000</f>
        <v>1.8</v>
      </c>
      <c r="C12" s="17">
        <f>SUM(月度预算!J8:J19)/10000</f>
        <v>3.6</v>
      </c>
      <c r="D12" s="17">
        <f>SUM(月度预算!J8:J31)/10000</f>
        <v>7.2</v>
      </c>
      <c r="E12" s="1"/>
      <c r="F12" s="1"/>
    </row>
    <row r="13" spans="1:6" ht="30" customHeight="1">
      <c r="A13" s="1" t="s">
        <v>12</v>
      </c>
      <c r="B13" s="17">
        <f>SUM(月度预算!K8:K13)/10000</f>
        <v>3</v>
      </c>
      <c r="C13" s="17">
        <f>SUM(月度预算!K8:K19)/10000</f>
        <v>6</v>
      </c>
      <c r="D13" s="17">
        <f>SUM(月度预算!K8:K31)/10000</f>
        <v>12</v>
      </c>
      <c r="E13" s="1"/>
      <c r="F13" s="1"/>
    </row>
    <row r="14" spans="1:6" ht="30" customHeight="1">
      <c r="A14" s="1" t="s">
        <v>13</v>
      </c>
      <c r="B14" s="17">
        <f>SUM(月度预算!L8:L13)/10000</f>
        <v>0</v>
      </c>
      <c r="C14" s="17">
        <f>SUM(月度预算!L8:L19)/10000</f>
        <v>2</v>
      </c>
      <c r="D14" s="17">
        <f>SUM(月度预算!L8:L31)/10000</f>
        <v>6</v>
      </c>
      <c r="E14" s="1"/>
      <c r="F14" s="1"/>
    </row>
    <row r="15" spans="1:6" ht="30" customHeight="1">
      <c r="A15" s="1" t="s">
        <v>14</v>
      </c>
      <c r="B15" s="17">
        <f>SUM(月度预算!M8:M13)/10000</f>
        <v>0</v>
      </c>
      <c r="C15" s="17">
        <f>SUM(月度预算!M8:M19)/10000</f>
        <v>0.48324055679999994</v>
      </c>
      <c r="D15" s="17">
        <f>SUM(月度预算!M8:M31)/10000</f>
        <v>5.0230850111999983</v>
      </c>
      <c r="E15" s="1"/>
      <c r="F15" s="1"/>
    </row>
    <row r="16" spans="1:6" ht="30" customHeight="1">
      <c r="A16" s="1" t="s">
        <v>15</v>
      </c>
      <c r="B16" s="17">
        <f>SUM(月度预算!N8:N13)/10000</f>
        <v>3</v>
      </c>
      <c r="C16" s="17">
        <f>SUM(月度预算!N8:N19)/10000</f>
        <v>5</v>
      </c>
      <c r="D16" s="17">
        <f>SUM(月度预算!N8:N31)/10000</f>
        <v>5</v>
      </c>
      <c r="E16" s="1"/>
      <c r="F16" s="1"/>
    </row>
    <row r="17" spans="1:6" ht="30" customHeight="1">
      <c r="A17" s="18" t="s">
        <v>16</v>
      </c>
      <c r="B17" s="19">
        <f>SUM(月度预算!O8:O13)/10000</f>
        <v>64.197599999999994</v>
      </c>
      <c r="C17" s="19">
        <f>SUM(月度预算!O8:O19)/10000</f>
        <v>130.22644055679999</v>
      </c>
      <c r="D17" s="19">
        <f>SUM(月度预算!O8:O31)/10000</f>
        <v>262.87748501120012</v>
      </c>
      <c r="E17" s="1"/>
      <c r="F17" s="1"/>
    </row>
    <row r="18" spans="1:6" ht="30" customHeight="1">
      <c r="A18" s="18" t="s">
        <v>17</v>
      </c>
      <c r="B18" s="19">
        <f>(SUM(B8:B16)+预算输入!C29/10000)*预算输入!C26</f>
        <v>6.4197600000000001</v>
      </c>
      <c r="C18" s="19">
        <f>(SUM(C8:C16)+预算输入!C29/10000)*预算输入!C26</f>
        <v>13.022644055679999</v>
      </c>
      <c r="D18" s="19">
        <f>(SUM(D8:D16)+预算输入!C29/10000)*预算输入!C26</f>
        <v>26.287748501119996</v>
      </c>
      <c r="E18" s="1"/>
      <c r="F18" s="1"/>
    </row>
    <row r="19" spans="1:6" ht="30" customHeight="1">
      <c r="A19" s="18" t="s">
        <v>18</v>
      </c>
      <c r="B19" s="19">
        <f>月度预算!Q13*预算输入!C27/10000</f>
        <v>29.098800000000001</v>
      </c>
      <c r="C19" s="19">
        <f>月度预算!Q19*预算输入!C27/10000</f>
        <v>29.594960371200003</v>
      </c>
      <c r="D19" s="19">
        <f>月度预算!Q31*预算输入!C27/10000</f>
        <v>31.041081484799999</v>
      </c>
      <c r="E19" s="1"/>
      <c r="F19" s="1"/>
    </row>
    <row r="20" spans="1:6" ht="30" customHeight="1">
      <c r="A20" s="18" t="s">
        <v>19</v>
      </c>
      <c r="B20" s="19">
        <f>MAX(0,SUM(B17:B19)-(预算输入!C28+预算输入!C32)/10000)</f>
        <v>99.716159999999988</v>
      </c>
      <c r="C20" s="19">
        <f>MAX(0,SUM(C17:C19)-(预算输入!C28+预算输入!C32)/10000)</f>
        <v>172.84404498367996</v>
      </c>
      <c r="D20" s="19">
        <f>MAX(0,SUM(D17:D19)-(预算输入!C28+预算输入!C32)/10000)</f>
        <v>320.2063149971201</v>
      </c>
      <c r="E20" s="1"/>
      <c r="F20" s="1"/>
    </row>
    <row r="21" spans="1:6" ht="30" customHeight="1">
      <c r="A21" s="20" t="s">
        <v>20</v>
      </c>
      <c r="B21" s="21">
        <f>ROUNDUP(B20/10,0)*10</f>
        <v>100</v>
      </c>
      <c r="C21" s="21">
        <f>ROUNDUP(C20/10,0)*10</f>
        <v>180</v>
      </c>
      <c r="D21" s="21">
        <f>ROUNDUP(D20/10,0)*10</f>
        <v>330</v>
      </c>
      <c r="E21" s="1"/>
      <c r="F21" s="1"/>
    </row>
    <row r="22" spans="1:6" ht="30" customHeight="1">
      <c r="A22" s="1" t="s">
        <v>21</v>
      </c>
      <c r="B22" s="17">
        <f>B21-B20</f>
        <v>0.28384000000001208</v>
      </c>
      <c r="C22" s="17">
        <f>C21-C20</f>
        <v>7.1559550163200356</v>
      </c>
      <c r="D22" s="17">
        <f>D21-D20</f>
        <v>9.7936850028798972</v>
      </c>
      <c r="E22" s="1"/>
      <c r="F22" s="1"/>
    </row>
    <row r="23" spans="1:6" ht="30" customHeight="1">
      <c r="A23" s="1"/>
      <c r="B23" s="1"/>
      <c r="C23" s="1"/>
      <c r="D23" s="1"/>
      <c r="E23" s="1"/>
      <c r="F23" s="1"/>
    </row>
    <row r="24" spans="1:6" ht="30" customHeight="1">
      <c r="A24" s="26" t="s">
        <v>22</v>
      </c>
      <c r="B24" s="26"/>
      <c r="C24" s="26"/>
      <c r="D24" s="26"/>
      <c r="E24" s="26"/>
      <c r="F24" s="26"/>
    </row>
    <row r="25" spans="1:6" ht="30" customHeight="1">
      <c r="A25" s="26"/>
      <c r="B25" s="26"/>
      <c r="C25" s="26"/>
      <c r="D25" s="26"/>
      <c r="E25" s="26"/>
      <c r="F25" s="26"/>
    </row>
    <row r="26" spans="1:6" ht="30" customHeight="1">
      <c r="A26" s="26"/>
      <c r="B26" s="26"/>
      <c r="C26" s="26"/>
      <c r="D26" s="26"/>
      <c r="E26" s="26"/>
      <c r="F26" s="26"/>
    </row>
    <row r="27" spans="1:6" ht="30" customHeight="1">
      <c r="A27" s="1"/>
      <c r="B27" s="1"/>
      <c r="C27" s="1"/>
      <c r="D27" s="1"/>
      <c r="E27" s="1"/>
      <c r="F27" s="1"/>
    </row>
    <row r="28" spans="1:6" ht="30" customHeight="1">
      <c r="A28" s="3" t="s">
        <v>23</v>
      </c>
      <c r="B28" s="3" t="s">
        <v>24</v>
      </c>
      <c r="C28" s="3" t="s">
        <v>25</v>
      </c>
      <c r="D28" s="3" t="s">
        <v>26</v>
      </c>
      <c r="E28" s="3" t="s">
        <v>27</v>
      </c>
      <c r="F28" s="1"/>
    </row>
    <row r="29" spans="1:6" ht="30" customHeight="1">
      <c r="A29" s="1" t="s">
        <v>28</v>
      </c>
      <c r="B29" s="24">
        <v>103.02106027839999</v>
      </c>
      <c r="C29" s="24">
        <v>137.44470649183998</v>
      </c>
      <c r="D29" s="24">
        <v>140</v>
      </c>
      <c r="E29" s="24">
        <v>260</v>
      </c>
      <c r="F29" s="1"/>
    </row>
    <row r="30" spans="1:6" ht="30" customHeight="1">
      <c r="A30" s="1" t="s">
        <v>29</v>
      </c>
      <c r="B30" s="24">
        <v>130.22644055679999</v>
      </c>
      <c r="C30" s="24">
        <v>172.84404498367996</v>
      </c>
      <c r="D30" s="24">
        <v>180</v>
      </c>
      <c r="E30" s="24">
        <v>330</v>
      </c>
      <c r="F30" s="1"/>
    </row>
    <row r="31" spans="1:6" ht="30" customHeight="1">
      <c r="A31" s="1" t="s">
        <v>30</v>
      </c>
      <c r="B31" s="24">
        <v>190.56376111359998</v>
      </c>
      <c r="C31" s="24">
        <v>283.20277960383999</v>
      </c>
      <c r="D31" s="24">
        <v>290</v>
      </c>
      <c r="E31" s="24">
        <v>700</v>
      </c>
      <c r="F31" s="1"/>
    </row>
    <row r="32" spans="1:6" ht="30" customHeight="1">
      <c r="A32" s="1"/>
      <c r="B32" s="1"/>
      <c r="C32" s="1"/>
      <c r="D32" s="1"/>
      <c r="E32" s="1"/>
      <c r="F32" s="1"/>
    </row>
    <row r="33" spans="1:6" ht="30" customHeight="1">
      <c r="A33" s="1"/>
      <c r="B33" s="1"/>
      <c r="C33" s="1"/>
      <c r="D33" s="1"/>
      <c r="E33" s="1"/>
      <c r="F33" s="1"/>
    </row>
    <row r="34" spans="1:6" ht="30" customHeight="1">
      <c r="A34" s="26" t="s">
        <v>31</v>
      </c>
      <c r="B34" s="26"/>
      <c r="C34" s="26"/>
      <c r="D34" s="26"/>
      <c r="E34" s="26"/>
      <c r="F34" s="26"/>
    </row>
    <row r="35" spans="1:6" ht="30" customHeight="1">
      <c r="A35" s="26"/>
      <c r="B35" s="26"/>
      <c r="C35" s="26"/>
      <c r="D35" s="26"/>
      <c r="E35" s="26"/>
      <c r="F35" s="26"/>
    </row>
    <row r="36" spans="1:6" ht="30" customHeight="1">
      <c r="A36" s="26"/>
      <c r="B36" s="26"/>
      <c r="C36" s="26"/>
      <c r="D36" s="26"/>
      <c r="E36" s="26"/>
      <c r="F36" s="26"/>
    </row>
    <row r="37" spans="1:6" ht="30" customHeight="1">
      <c r="A37" s="1"/>
      <c r="B37" s="1"/>
      <c r="C37" s="1"/>
      <c r="D37" s="1"/>
      <c r="E37" s="1"/>
      <c r="F37" s="1"/>
    </row>
  </sheetData>
  <mergeCells count="4">
    <mergeCell ref="A1:F1"/>
    <mergeCell ref="A3:D3"/>
    <mergeCell ref="A24:F26"/>
    <mergeCell ref="A34:F3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66C"/>
  </sheetPr>
  <dimension ref="A1:G60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1" customWidth="1"/>
    <col min="2" max="2" width="15" customWidth="1"/>
    <col min="3" max="3" width="17" customWidth="1"/>
    <col min="4" max="6" width="15" customWidth="1"/>
    <col min="7" max="7" width="68" customWidth="1"/>
  </cols>
  <sheetData>
    <row r="1" spans="1:7" ht="42" customHeight="1">
      <c r="A1" s="25" t="s">
        <v>32</v>
      </c>
      <c r="B1" s="25"/>
      <c r="C1" s="25"/>
      <c r="D1" s="25"/>
      <c r="E1" s="25"/>
      <c r="F1" s="25"/>
      <c r="G1" s="25"/>
    </row>
    <row r="2" spans="1:7" ht="30" customHeight="1">
      <c r="A2" s="1"/>
      <c r="B2" s="1"/>
      <c r="C2" s="1"/>
      <c r="D2" s="1"/>
      <c r="E2" s="1"/>
      <c r="F2" s="1"/>
      <c r="G2" s="1"/>
    </row>
    <row r="3" spans="1:7" ht="30" customHeight="1">
      <c r="A3" s="26" t="s">
        <v>33</v>
      </c>
      <c r="B3" s="26"/>
      <c r="C3" s="26"/>
      <c r="D3" s="26"/>
      <c r="E3" s="26"/>
      <c r="F3" s="26"/>
      <c r="G3" s="26"/>
    </row>
    <row r="4" spans="1:7" ht="30" customHeight="1">
      <c r="A4" s="1"/>
      <c r="B4" s="1"/>
      <c r="C4" s="1"/>
      <c r="D4" s="1"/>
      <c r="E4" s="1"/>
      <c r="F4" s="1"/>
      <c r="G4" s="1"/>
    </row>
    <row r="5" spans="1:7" ht="30" customHeight="1">
      <c r="A5" s="1" t="s">
        <v>34</v>
      </c>
      <c r="B5" s="2">
        <v>2</v>
      </c>
      <c r="C5" s="1"/>
      <c r="D5" s="1"/>
      <c r="E5" s="1"/>
      <c r="F5" s="1"/>
      <c r="G5" s="1"/>
    </row>
    <row r="6" spans="1:7" ht="30" customHeight="1">
      <c r="A6" s="1"/>
      <c r="B6" s="1"/>
      <c r="C6" s="1"/>
      <c r="D6" s="1"/>
      <c r="E6" s="1"/>
      <c r="F6" s="1"/>
      <c r="G6" s="1"/>
    </row>
    <row r="7" spans="1:7" ht="30" customHeight="1">
      <c r="A7" s="1"/>
      <c r="B7" s="1"/>
      <c r="C7" s="1"/>
      <c r="D7" s="1"/>
      <c r="E7" s="1"/>
      <c r="F7" s="1"/>
      <c r="G7" s="1"/>
    </row>
    <row r="8" spans="1:7" ht="30" customHeight="1">
      <c r="A8" s="3" t="s">
        <v>35</v>
      </c>
      <c r="B8" s="3" t="s">
        <v>36</v>
      </c>
      <c r="C8" s="3" t="s">
        <v>2</v>
      </c>
      <c r="D8" s="3" t="s">
        <v>28</v>
      </c>
      <c r="E8" s="3" t="s">
        <v>29</v>
      </c>
      <c r="F8" s="3" t="s">
        <v>30</v>
      </c>
      <c r="G8" s="3" t="s">
        <v>37</v>
      </c>
    </row>
    <row r="9" spans="1:7" ht="30" customHeight="1">
      <c r="A9" s="1" t="s">
        <v>38</v>
      </c>
      <c r="B9" s="1" t="s">
        <v>39</v>
      </c>
      <c r="C9" s="5">
        <f t="shared" ref="C9:C33" si="0">INDEX(D9:F9,1,$B$5)</f>
        <v>5</v>
      </c>
      <c r="D9" s="6">
        <v>5</v>
      </c>
      <c r="E9" s="6">
        <v>5</v>
      </c>
      <c r="F9" s="6">
        <v>5</v>
      </c>
      <c r="G9" s="1" t="s">
        <v>40</v>
      </c>
    </row>
    <row r="10" spans="1:7" ht="30" customHeight="1">
      <c r="A10" s="1" t="s">
        <v>41</v>
      </c>
      <c r="B10" s="1" t="s">
        <v>42</v>
      </c>
      <c r="C10" s="5">
        <f t="shared" si="0"/>
        <v>12000</v>
      </c>
      <c r="D10" s="6">
        <v>10000</v>
      </c>
      <c r="E10" s="6">
        <v>12000</v>
      </c>
      <c r="F10" s="6">
        <v>16000</v>
      </c>
      <c r="G10" s="1" t="s">
        <v>43</v>
      </c>
    </row>
    <row r="11" spans="1:7" ht="30" customHeight="1">
      <c r="A11" s="1" t="s">
        <v>44</v>
      </c>
      <c r="B11" s="1" t="s">
        <v>45</v>
      </c>
      <c r="C11" s="7">
        <f t="shared" si="0"/>
        <v>0.25</v>
      </c>
      <c r="D11" s="8">
        <v>0.2</v>
      </c>
      <c r="E11" s="8">
        <v>0.25</v>
      </c>
      <c r="F11" s="8">
        <v>0.25</v>
      </c>
      <c r="G11" s="1" t="s">
        <v>46</v>
      </c>
    </row>
    <row r="12" spans="1:7" ht="30" customHeight="1">
      <c r="A12" s="1" t="s">
        <v>47</v>
      </c>
      <c r="B12" s="1" t="s">
        <v>48</v>
      </c>
      <c r="C12" s="5">
        <f t="shared" si="0"/>
        <v>500</v>
      </c>
      <c r="D12" s="6">
        <v>500</v>
      </c>
      <c r="E12" s="6">
        <v>500</v>
      </c>
      <c r="F12" s="6">
        <v>500</v>
      </c>
      <c r="G12" s="1" t="s">
        <v>49</v>
      </c>
    </row>
    <row r="13" spans="1:7" ht="30" customHeight="1">
      <c r="A13" s="1" t="s">
        <v>50</v>
      </c>
      <c r="B13" s="1" t="s">
        <v>51</v>
      </c>
      <c r="C13" s="5">
        <f t="shared" si="0"/>
        <v>7</v>
      </c>
      <c r="D13" s="6">
        <v>6.8</v>
      </c>
      <c r="E13" s="6">
        <v>7</v>
      </c>
      <c r="F13" s="6">
        <v>7.5</v>
      </c>
      <c r="G13" s="1" t="s">
        <v>52</v>
      </c>
    </row>
    <row r="14" spans="1:7" ht="30" customHeight="1">
      <c r="A14" s="1" t="s">
        <v>53</v>
      </c>
      <c r="B14" s="1" t="s">
        <v>54</v>
      </c>
      <c r="C14" s="5">
        <f t="shared" si="0"/>
        <v>100</v>
      </c>
      <c r="D14" s="6">
        <v>50</v>
      </c>
      <c r="E14" s="6">
        <v>100</v>
      </c>
      <c r="F14" s="6">
        <v>200</v>
      </c>
      <c r="G14" s="1" t="s">
        <v>55</v>
      </c>
    </row>
    <row r="15" spans="1:7" ht="30" customHeight="1">
      <c r="A15" s="1" t="s">
        <v>56</v>
      </c>
      <c r="B15" s="1" t="s">
        <v>57</v>
      </c>
      <c r="C15" s="5">
        <f t="shared" si="0"/>
        <v>8</v>
      </c>
      <c r="D15" s="6">
        <v>4</v>
      </c>
      <c r="E15" s="6">
        <v>8</v>
      </c>
      <c r="F15" s="6">
        <v>16</v>
      </c>
      <c r="G15" s="1" t="s">
        <v>58</v>
      </c>
    </row>
    <row r="16" spans="1:7" ht="30" customHeight="1">
      <c r="A16" s="1" t="s">
        <v>59</v>
      </c>
      <c r="B16" s="1" t="s">
        <v>60</v>
      </c>
      <c r="C16" s="5">
        <f t="shared" si="0"/>
        <v>20000</v>
      </c>
      <c r="D16" s="6">
        <v>20000</v>
      </c>
      <c r="E16" s="6">
        <v>20000</v>
      </c>
      <c r="F16" s="6">
        <v>20000</v>
      </c>
      <c r="G16" s="1" t="s">
        <v>61</v>
      </c>
    </row>
    <row r="17" spans="1:7" ht="30" customHeight="1">
      <c r="A17" s="1" t="s">
        <v>62</v>
      </c>
      <c r="B17" s="1" t="s">
        <v>60</v>
      </c>
      <c r="C17" s="5">
        <f t="shared" si="0"/>
        <v>2000</v>
      </c>
      <c r="D17" s="6">
        <v>2000</v>
      </c>
      <c r="E17" s="6">
        <v>2000</v>
      </c>
      <c r="F17" s="6">
        <v>2000</v>
      </c>
      <c r="G17" s="1" t="s">
        <v>63</v>
      </c>
    </row>
    <row r="18" spans="1:7" ht="30" customHeight="1">
      <c r="A18" s="1" t="s">
        <v>64</v>
      </c>
      <c r="B18" s="1" t="s">
        <v>54</v>
      </c>
      <c r="C18" s="5">
        <f t="shared" si="0"/>
        <v>20</v>
      </c>
      <c r="D18" s="6">
        <v>10</v>
      </c>
      <c r="E18" s="6">
        <v>20</v>
      </c>
      <c r="F18" s="6">
        <v>100</v>
      </c>
      <c r="G18" s="1" t="s">
        <v>65</v>
      </c>
    </row>
    <row r="19" spans="1:7" ht="30" customHeight="1">
      <c r="A19" s="1" t="s">
        <v>66</v>
      </c>
      <c r="B19" s="1" t="s">
        <v>57</v>
      </c>
      <c r="C19" s="5">
        <f t="shared" si="0"/>
        <v>8</v>
      </c>
      <c r="D19" s="6">
        <v>4</v>
      </c>
      <c r="E19" s="6">
        <v>8</v>
      </c>
      <c r="F19" s="6">
        <v>32</v>
      </c>
      <c r="G19" s="1" t="s">
        <v>67</v>
      </c>
    </row>
    <row r="20" spans="1:7" ht="30" customHeight="1">
      <c r="A20" s="1" t="s">
        <v>68</v>
      </c>
      <c r="B20" s="1" t="s">
        <v>69</v>
      </c>
      <c r="C20" s="5">
        <f t="shared" si="0"/>
        <v>1</v>
      </c>
      <c r="D20" s="6">
        <v>0.5</v>
      </c>
      <c r="E20" s="6">
        <v>1</v>
      </c>
      <c r="F20" s="6">
        <v>2</v>
      </c>
      <c r="G20" s="1" t="s">
        <v>70</v>
      </c>
    </row>
    <row r="21" spans="1:7" ht="30" customHeight="1">
      <c r="A21" s="1" t="s">
        <v>71</v>
      </c>
      <c r="B21" s="1" t="s">
        <v>69</v>
      </c>
      <c r="C21" s="5">
        <f t="shared" si="0"/>
        <v>1</v>
      </c>
      <c r="D21" s="6">
        <v>0.75</v>
      </c>
      <c r="E21" s="6">
        <v>1</v>
      </c>
      <c r="F21" s="6">
        <v>2</v>
      </c>
      <c r="G21" s="1" t="s">
        <v>72</v>
      </c>
    </row>
    <row r="22" spans="1:7" ht="30" customHeight="1">
      <c r="A22" s="1" t="s">
        <v>73</v>
      </c>
      <c r="B22" s="1" t="s">
        <v>74</v>
      </c>
      <c r="C22" s="5">
        <f t="shared" si="0"/>
        <v>3000</v>
      </c>
      <c r="D22" s="6">
        <v>2000</v>
      </c>
      <c r="E22" s="6">
        <v>3000</v>
      </c>
      <c r="F22" s="6">
        <v>5000</v>
      </c>
      <c r="G22" s="1" t="s">
        <v>75</v>
      </c>
    </row>
    <row r="23" spans="1:7" ht="30" customHeight="1">
      <c r="A23" s="1" t="s">
        <v>76</v>
      </c>
      <c r="B23" s="1" t="s">
        <v>77</v>
      </c>
      <c r="C23" s="5">
        <f t="shared" si="0"/>
        <v>50000</v>
      </c>
      <c r="D23" s="6">
        <v>30000</v>
      </c>
      <c r="E23" s="6">
        <v>50000</v>
      </c>
      <c r="F23" s="6">
        <v>80000</v>
      </c>
      <c r="G23" s="1" t="s">
        <v>78</v>
      </c>
    </row>
    <row r="24" spans="1:7" ht="30" customHeight="1">
      <c r="A24" s="1" t="s">
        <v>79</v>
      </c>
      <c r="B24" s="1" t="s">
        <v>80</v>
      </c>
      <c r="C24" s="5">
        <f t="shared" si="0"/>
        <v>60000</v>
      </c>
      <c r="D24" s="6">
        <v>30000</v>
      </c>
      <c r="E24" s="6">
        <v>60000</v>
      </c>
      <c r="F24" s="6">
        <v>100000</v>
      </c>
      <c r="G24" s="1" t="s">
        <v>81</v>
      </c>
    </row>
    <row r="25" spans="1:7" ht="30" customHeight="1">
      <c r="A25" s="1" t="s">
        <v>82</v>
      </c>
      <c r="B25" s="1" t="s">
        <v>80</v>
      </c>
      <c r="C25" s="5">
        <f t="shared" si="0"/>
        <v>20000</v>
      </c>
      <c r="D25" s="6">
        <v>10000</v>
      </c>
      <c r="E25" s="6">
        <v>20000</v>
      </c>
      <c r="F25" s="6">
        <v>40000</v>
      </c>
      <c r="G25" s="1" t="s">
        <v>83</v>
      </c>
    </row>
    <row r="26" spans="1:7" ht="30" customHeight="1">
      <c r="A26" s="1" t="s">
        <v>84</v>
      </c>
      <c r="B26" s="1" t="s">
        <v>45</v>
      </c>
      <c r="C26" s="7">
        <f t="shared" si="0"/>
        <v>0.1</v>
      </c>
      <c r="D26" s="8">
        <v>0.1</v>
      </c>
      <c r="E26" s="8">
        <v>0.1</v>
      </c>
      <c r="F26" s="8">
        <v>0.15</v>
      </c>
      <c r="G26" s="1" t="s">
        <v>85</v>
      </c>
    </row>
    <row r="27" spans="1:7" ht="30" customHeight="1">
      <c r="A27" s="1" t="s">
        <v>86</v>
      </c>
      <c r="B27" s="1" t="s">
        <v>87</v>
      </c>
      <c r="C27" s="5">
        <f t="shared" si="0"/>
        <v>3</v>
      </c>
      <c r="D27" s="6">
        <v>3</v>
      </c>
      <c r="E27" s="6">
        <v>3</v>
      </c>
      <c r="F27" s="6">
        <v>4</v>
      </c>
      <c r="G27" s="1" t="s">
        <v>88</v>
      </c>
    </row>
    <row r="28" spans="1:7" ht="30" customHeight="1">
      <c r="A28" s="1" t="s">
        <v>89</v>
      </c>
      <c r="B28" s="1" t="s">
        <v>77</v>
      </c>
      <c r="C28" s="5">
        <f t="shared" si="0"/>
        <v>0</v>
      </c>
      <c r="D28" s="6">
        <v>0</v>
      </c>
      <c r="E28" s="6">
        <v>0</v>
      </c>
      <c r="F28" s="6">
        <v>0</v>
      </c>
      <c r="G28" s="1" t="s">
        <v>90</v>
      </c>
    </row>
    <row r="29" spans="1:7" ht="30" customHeight="1">
      <c r="A29" s="1" t="s">
        <v>91</v>
      </c>
      <c r="B29" s="1" t="s">
        <v>77</v>
      </c>
      <c r="C29" s="5">
        <f t="shared" si="0"/>
        <v>0</v>
      </c>
      <c r="D29" s="6">
        <v>0</v>
      </c>
      <c r="E29" s="6">
        <v>0</v>
      </c>
      <c r="F29" s="6">
        <v>0</v>
      </c>
      <c r="G29" s="1" t="s">
        <v>92</v>
      </c>
    </row>
    <row r="30" spans="1:7" ht="30" customHeight="1">
      <c r="A30" s="1" t="s">
        <v>93</v>
      </c>
      <c r="B30" s="1" t="s">
        <v>77</v>
      </c>
      <c r="C30" s="5">
        <f t="shared" si="0"/>
        <v>0</v>
      </c>
      <c r="D30" s="6">
        <v>0</v>
      </c>
      <c r="E30" s="6">
        <v>0</v>
      </c>
      <c r="F30" s="6">
        <v>0</v>
      </c>
      <c r="G30" s="1" t="s">
        <v>94</v>
      </c>
    </row>
    <row r="31" spans="1:7" ht="30" customHeight="1">
      <c r="A31" s="1" t="s">
        <v>95</v>
      </c>
      <c r="B31" s="1" t="s">
        <v>77</v>
      </c>
      <c r="C31" s="5">
        <f t="shared" si="0"/>
        <v>0</v>
      </c>
      <c r="D31" s="6">
        <v>0</v>
      </c>
      <c r="E31" s="6">
        <v>0</v>
      </c>
      <c r="F31" s="6">
        <v>0</v>
      </c>
      <c r="G31" s="1" t="s">
        <v>96</v>
      </c>
    </row>
    <row r="32" spans="1:7" ht="30" customHeight="1">
      <c r="A32" s="1" t="s">
        <v>97</v>
      </c>
      <c r="B32" s="1" t="s">
        <v>77</v>
      </c>
      <c r="C32" s="5">
        <f t="shared" si="0"/>
        <v>0</v>
      </c>
      <c r="D32" s="6">
        <v>0</v>
      </c>
      <c r="E32" s="6">
        <v>0</v>
      </c>
      <c r="F32" s="6">
        <v>0</v>
      </c>
      <c r="G32" s="1" t="s">
        <v>98</v>
      </c>
    </row>
    <row r="33" spans="1:7" ht="30" customHeight="1">
      <c r="A33" s="1" t="s">
        <v>99</v>
      </c>
      <c r="B33" s="1" t="s">
        <v>100</v>
      </c>
      <c r="C33" s="5">
        <f t="shared" si="0"/>
        <v>1</v>
      </c>
      <c r="D33" s="6">
        <v>1</v>
      </c>
      <c r="E33" s="6">
        <v>1</v>
      </c>
      <c r="F33" s="6">
        <v>1</v>
      </c>
      <c r="G33" s="1" t="s">
        <v>101</v>
      </c>
    </row>
    <row r="34" spans="1:7" ht="30" customHeight="1">
      <c r="A34" s="1"/>
      <c r="B34" s="1"/>
      <c r="C34" s="1"/>
      <c r="D34" s="1"/>
      <c r="E34" s="1"/>
      <c r="F34" s="1"/>
      <c r="G34" s="1"/>
    </row>
    <row r="35" spans="1:7" ht="30" customHeight="1">
      <c r="A35" s="1"/>
      <c r="B35" s="1"/>
      <c r="C35" s="1"/>
      <c r="D35" s="1"/>
      <c r="E35" s="1"/>
      <c r="F35" s="1"/>
      <c r="G35" s="1"/>
    </row>
    <row r="36" spans="1:7" ht="30" customHeight="1">
      <c r="A36" s="27" t="s">
        <v>102</v>
      </c>
      <c r="B36" s="27"/>
      <c r="C36" s="27"/>
      <c r="D36" s="27"/>
      <c r="E36" s="27"/>
      <c r="F36" s="27"/>
      <c r="G36" s="1"/>
    </row>
    <row r="37" spans="1:7" ht="30" customHeight="1">
      <c r="A37" s="1"/>
      <c r="B37" s="1"/>
      <c r="C37" s="1"/>
      <c r="D37" s="1"/>
      <c r="E37" s="1"/>
      <c r="F37" s="1"/>
      <c r="G37" s="1"/>
    </row>
    <row r="38" spans="1:7" ht="30" customHeight="1">
      <c r="A38" s="3" t="s">
        <v>103</v>
      </c>
      <c r="B38" s="3" t="s">
        <v>104</v>
      </c>
      <c r="C38" s="3" t="s">
        <v>105</v>
      </c>
      <c r="D38" s="3" t="s">
        <v>106</v>
      </c>
      <c r="E38" s="3" t="s">
        <v>107</v>
      </c>
      <c r="F38" s="3" t="s">
        <v>108</v>
      </c>
      <c r="G38" s="1"/>
    </row>
    <row r="39" spans="1:7" ht="30" customHeight="1">
      <c r="A39" s="1" t="s">
        <v>109</v>
      </c>
      <c r="B39" s="6">
        <v>1</v>
      </c>
      <c r="C39" s="6">
        <v>1</v>
      </c>
      <c r="D39" s="6">
        <v>80</v>
      </c>
      <c r="E39" s="6">
        <v>400</v>
      </c>
      <c r="F39" s="1" t="s">
        <v>110</v>
      </c>
      <c r="G39" s="1"/>
    </row>
    <row r="40" spans="1:7" ht="30" customHeight="1">
      <c r="A40" s="1" t="s">
        <v>111</v>
      </c>
      <c r="B40" s="6">
        <v>2</v>
      </c>
      <c r="C40" s="6">
        <v>1</v>
      </c>
      <c r="D40" s="6">
        <v>80</v>
      </c>
      <c r="E40" s="6">
        <v>900</v>
      </c>
      <c r="F40" s="1" t="s">
        <v>112</v>
      </c>
      <c r="G40" s="1"/>
    </row>
    <row r="41" spans="1:7" ht="30" customHeight="1">
      <c r="A41" s="1" t="s">
        <v>113</v>
      </c>
      <c r="B41" s="6">
        <v>2</v>
      </c>
      <c r="C41" s="6">
        <v>1</v>
      </c>
      <c r="D41" s="6">
        <v>230</v>
      </c>
      <c r="E41" s="6">
        <v>1300</v>
      </c>
      <c r="F41" s="1" t="s">
        <v>114</v>
      </c>
      <c r="G41" s="1"/>
    </row>
    <row r="42" spans="1:7" ht="30" customHeight="1">
      <c r="A42" s="1"/>
      <c r="B42" s="1"/>
      <c r="C42" s="1"/>
      <c r="D42" s="1"/>
      <c r="E42" s="1"/>
      <c r="F42" s="1"/>
      <c r="G42" s="1"/>
    </row>
    <row r="43" spans="1:7" ht="30" customHeight="1">
      <c r="A43" s="1"/>
      <c r="B43" s="1"/>
      <c r="C43" s="1"/>
      <c r="D43" s="1"/>
      <c r="E43" s="1"/>
      <c r="F43" s="1"/>
      <c r="G43" s="1"/>
    </row>
    <row r="44" spans="1:7" ht="30" customHeight="1">
      <c r="A44" s="3" t="s">
        <v>115</v>
      </c>
      <c r="B44" s="3" t="s">
        <v>116</v>
      </c>
      <c r="C44" s="3" t="s">
        <v>117</v>
      </c>
      <c r="D44" s="3" t="s">
        <v>118</v>
      </c>
      <c r="E44" s="1"/>
      <c r="F44" s="1"/>
      <c r="G44" s="1"/>
    </row>
    <row r="45" spans="1:7" ht="30" customHeight="1">
      <c r="A45" s="4">
        <v>7</v>
      </c>
      <c r="B45" s="4">
        <v>30</v>
      </c>
      <c r="C45" s="4">
        <v>3</v>
      </c>
      <c r="D45" s="4">
        <v>10</v>
      </c>
      <c r="E45" s="1"/>
      <c r="F45" s="1"/>
      <c r="G45" s="1"/>
    </row>
    <row r="46" spans="1:7" ht="30" customHeight="1">
      <c r="A46" s="4">
        <v>10</v>
      </c>
      <c r="B46" s="4">
        <v>60</v>
      </c>
      <c r="C46" s="4">
        <v>6</v>
      </c>
      <c r="D46" s="4">
        <v>20</v>
      </c>
      <c r="E46" s="1"/>
      <c r="F46" s="1"/>
      <c r="G46" s="1"/>
    </row>
    <row r="47" spans="1:7" ht="30" customHeight="1">
      <c r="A47" s="4">
        <v>13</v>
      </c>
      <c r="B47" s="4">
        <v>120</v>
      </c>
      <c r="C47" s="4">
        <v>12</v>
      </c>
      <c r="D47" s="4">
        <v>50</v>
      </c>
      <c r="E47" s="1"/>
      <c r="F47" s="1"/>
      <c r="G47" s="1"/>
    </row>
    <row r="48" spans="1:7" ht="30" customHeight="1">
      <c r="A48" s="4">
        <v>19</v>
      </c>
      <c r="B48" s="4">
        <v>240</v>
      </c>
      <c r="C48" s="4">
        <v>24</v>
      </c>
      <c r="D48" s="4">
        <v>100</v>
      </c>
      <c r="E48" s="1"/>
      <c r="F48" s="1"/>
      <c r="G48" s="1"/>
    </row>
    <row r="49" spans="1:7" ht="30" customHeight="1">
      <c r="A49" s="1"/>
      <c r="B49" s="1"/>
      <c r="C49" s="1"/>
      <c r="D49" s="1"/>
      <c r="E49" s="1"/>
      <c r="F49" s="1"/>
      <c r="G49" s="1"/>
    </row>
    <row r="50" spans="1:7" ht="30" customHeight="1">
      <c r="A50" s="1"/>
      <c r="B50" s="1"/>
      <c r="C50" s="1"/>
      <c r="D50" s="1"/>
      <c r="E50" s="1"/>
      <c r="F50" s="1"/>
      <c r="G50" s="1"/>
    </row>
    <row r="51" spans="1:7" ht="28" customHeight="1">
      <c r="A51" s="26" t="s">
        <v>119</v>
      </c>
      <c r="B51" s="26"/>
      <c r="C51" s="26"/>
      <c r="D51" s="26"/>
      <c r="E51" s="26"/>
      <c r="F51" s="26"/>
      <c r="G51" s="26"/>
    </row>
    <row r="52" spans="1:7" ht="28" customHeight="1">
      <c r="A52" s="26"/>
      <c r="B52" s="26"/>
      <c r="C52" s="26"/>
      <c r="D52" s="26"/>
      <c r="E52" s="26"/>
      <c r="F52" s="26"/>
      <c r="G52" s="26"/>
    </row>
    <row r="53" spans="1:7" ht="28" customHeight="1">
      <c r="A53" s="26"/>
      <c r="B53" s="26"/>
      <c r="C53" s="26"/>
      <c r="D53" s="26"/>
      <c r="E53" s="26"/>
      <c r="F53" s="26"/>
      <c r="G53" s="26"/>
    </row>
    <row r="54" spans="1:7" ht="30" customHeight="1">
      <c r="A54" s="1"/>
      <c r="B54" s="1"/>
      <c r="C54" s="1"/>
      <c r="D54" s="1"/>
      <c r="E54" s="1"/>
      <c r="F54" s="1"/>
      <c r="G54" s="1"/>
    </row>
    <row r="55" spans="1:7" ht="30" customHeight="1">
      <c r="A55" s="1"/>
      <c r="B55" s="1"/>
      <c r="C55" s="1"/>
      <c r="D55" s="1"/>
      <c r="E55" s="1"/>
      <c r="F55" s="1"/>
      <c r="G55" s="1"/>
    </row>
    <row r="56" spans="1:7" ht="30" customHeight="1">
      <c r="A56" s="1"/>
      <c r="B56" s="1"/>
      <c r="C56" s="1"/>
      <c r="D56" s="1"/>
      <c r="E56" s="1"/>
      <c r="F56" s="1"/>
      <c r="G56" s="1"/>
    </row>
    <row r="57" spans="1:7" ht="30" customHeight="1">
      <c r="A57" s="1"/>
      <c r="B57" s="1"/>
      <c r="C57" s="1"/>
      <c r="D57" s="1"/>
      <c r="E57" s="1"/>
      <c r="F57" s="1"/>
      <c r="G57" s="1"/>
    </row>
    <row r="58" spans="1:7" ht="30" customHeight="1">
      <c r="A58" s="1"/>
      <c r="B58" s="1"/>
      <c r="C58" s="1"/>
      <c r="D58" s="1"/>
      <c r="E58" s="1"/>
      <c r="F58" s="1"/>
      <c r="G58" s="1"/>
    </row>
    <row r="59" spans="1:7" ht="30" customHeight="1">
      <c r="A59" s="1"/>
      <c r="B59" s="1"/>
      <c r="C59" s="1"/>
      <c r="D59" s="1"/>
      <c r="E59" s="1"/>
      <c r="F59" s="1"/>
      <c r="G59" s="1"/>
    </row>
    <row r="60" spans="1:7" ht="30" customHeight="1">
      <c r="A60" s="1"/>
      <c r="B60" s="1"/>
      <c r="C60" s="1"/>
      <c r="D60" s="1"/>
      <c r="E60" s="1"/>
      <c r="F60" s="1"/>
      <c r="G60" s="1"/>
    </row>
  </sheetData>
  <mergeCells count="4">
    <mergeCell ref="A1:G1"/>
    <mergeCell ref="A3:G3"/>
    <mergeCell ref="A36:F36"/>
    <mergeCell ref="A51:G53"/>
  </mergeCells>
  <phoneticPr fontId="10" type="noConversion"/>
  <dataValidations count="1">
    <dataValidation type="whole" sqref="B5" xr:uid="{00000000-0002-0000-0100-000000000000}">
      <formula1>1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66C"/>
  </sheetPr>
  <dimension ref="A1:T35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9" customWidth="1"/>
    <col min="2" max="2" width="14" customWidth="1"/>
    <col min="3" max="4" width="10" customWidth="1"/>
    <col min="5" max="5" width="11" customWidth="1"/>
    <col min="6" max="8" width="15" customWidth="1"/>
    <col min="9" max="12" width="14" customWidth="1"/>
    <col min="13" max="13" width="15" customWidth="1"/>
    <col min="14" max="14" width="14" customWidth="1"/>
    <col min="15" max="15" width="16" customWidth="1"/>
    <col min="16" max="16" width="17" customWidth="1"/>
    <col min="17" max="17" width="16" customWidth="1"/>
    <col min="18" max="18" width="15" customWidth="1"/>
    <col min="19" max="19" width="16" customWidth="1"/>
    <col min="20" max="20" width="15" customWidth="1"/>
  </cols>
  <sheetData>
    <row r="1" spans="1:20" ht="42" customHeight="1">
      <c r="A1" s="25" t="s">
        <v>120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0" customHeight="1">
      <c r="A3" s="26" t="s">
        <v>121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 spans="1:2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46" customHeight="1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127</v>
      </c>
      <c r="G7" s="3" t="s">
        <v>128</v>
      </c>
      <c r="H7" s="3" t="s">
        <v>129</v>
      </c>
      <c r="I7" s="3" t="s">
        <v>10</v>
      </c>
      <c r="J7" s="3" t="s">
        <v>11</v>
      </c>
      <c r="K7" s="3" t="s">
        <v>130</v>
      </c>
      <c r="L7" s="3" t="s">
        <v>131</v>
      </c>
      <c r="M7" s="3" t="s">
        <v>132</v>
      </c>
      <c r="N7" s="3" t="s">
        <v>133</v>
      </c>
      <c r="O7" s="3" t="s">
        <v>134</v>
      </c>
      <c r="P7" s="3" t="s">
        <v>135</v>
      </c>
      <c r="Q7" s="3" t="s">
        <v>136</v>
      </c>
      <c r="R7" s="3" t="s">
        <v>137</v>
      </c>
      <c r="S7" s="3" t="s">
        <v>138</v>
      </c>
      <c r="T7" s="3" t="s">
        <v>139</v>
      </c>
    </row>
    <row r="8" spans="1:20" ht="30" customHeight="1">
      <c r="A8" s="13">
        <f>1</f>
        <v>1</v>
      </c>
      <c r="B8" s="14">
        <f t="shared" ref="B8:B31" si="0">DATE(2026,10+A8,1)</f>
        <v>46327</v>
      </c>
      <c r="C8" s="15">
        <f>0</f>
        <v>0</v>
      </c>
      <c r="D8" s="15">
        <f>0</f>
        <v>0</v>
      </c>
      <c r="E8" s="15">
        <f>0</f>
        <v>0</v>
      </c>
      <c r="F8" s="16">
        <f>预算输入!$C$9*预算输入!$C$10*(1+预算输入!$C$11)</f>
        <v>75000</v>
      </c>
      <c r="G8" s="16">
        <f>预算输入!$C$9*预算输入!$C$12*预算输入!$C$13</f>
        <v>17500</v>
      </c>
      <c r="H8" s="16">
        <f>用量测算!$B$17</f>
        <v>936</v>
      </c>
      <c r="I8" s="16">
        <f>(预算输入!B39+预算输入!C39)*预算输入!D39+预算输入!E39*预算输入!$C$21</f>
        <v>560</v>
      </c>
      <c r="J8" s="16">
        <f>预算输入!$C$22</f>
        <v>3000</v>
      </c>
      <c r="K8" s="16">
        <f>IF(MOD(A8,3)=0,预算输入!$C$24/4,0)</f>
        <v>0</v>
      </c>
      <c r="L8" s="16">
        <f>IF(OR(A8=8,A8=11),预算输入!$C$25/2,IF(OR(A8=16,A8=22),预算输入!$C$25,0))</f>
        <v>0</v>
      </c>
      <c r="M8" s="16">
        <f>C8*用量测算!$B$14+D8*用量测算!$B$15+E8*用量测算!$B$16</f>
        <v>0</v>
      </c>
      <c r="N8" s="16">
        <f>IF(A8=1,预算输入!$C$23*0.6,IF(A8=7,预算输入!$C$23*0.4,0))</f>
        <v>30000</v>
      </c>
      <c r="O8" s="16">
        <f>SUM(F8:N8)-R8+IF(A8=1,SUM(预算输入!$C$29:$C$31),0)</f>
        <v>126996</v>
      </c>
      <c r="P8" s="16">
        <f>SUM($O$8:O8)</f>
        <v>126996</v>
      </c>
      <c r="Q8" s="16">
        <f t="shared" ref="Q8:Q31" si="1">SUM(F8:J8)+M8</f>
        <v>96996</v>
      </c>
      <c r="R8" s="16">
        <f>MIN(预算输入!$C$30,H8+M8)</f>
        <v>0</v>
      </c>
      <c r="S8" s="16">
        <f>预算输入!$C$30-R8</f>
        <v>0</v>
      </c>
      <c r="T8" s="16">
        <f t="shared" ref="T8:T31" si="2">H8+M8-R8</f>
        <v>936</v>
      </c>
    </row>
    <row r="9" spans="1:20" ht="30" customHeight="1">
      <c r="A9" s="13">
        <f>2</f>
        <v>2</v>
      </c>
      <c r="B9" s="14">
        <f t="shared" si="0"/>
        <v>46357</v>
      </c>
      <c r="C9" s="15">
        <f>0</f>
        <v>0</v>
      </c>
      <c r="D9" s="15">
        <f>0</f>
        <v>0</v>
      </c>
      <c r="E9" s="15">
        <f>0</f>
        <v>0</v>
      </c>
      <c r="F9" s="16">
        <f>预算输入!$C$9*预算输入!$C$10*(1+预算输入!$C$11)</f>
        <v>75000</v>
      </c>
      <c r="G9" s="16">
        <f>预算输入!$C$9*预算输入!$C$12*预算输入!$C$13</f>
        <v>17500</v>
      </c>
      <c r="H9" s="16">
        <f>用量测算!$B$17</f>
        <v>936</v>
      </c>
      <c r="I9" s="16">
        <f>(预算输入!B39+预算输入!C39)*预算输入!D39+预算输入!E39*预算输入!$C$21</f>
        <v>560</v>
      </c>
      <c r="J9" s="16">
        <f>预算输入!$C$22</f>
        <v>3000</v>
      </c>
      <c r="K9" s="16">
        <f>IF(MOD(A9,3)=0,预算输入!$C$24/4,0)</f>
        <v>0</v>
      </c>
      <c r="L9" s="16">
        <f>IF(OR(A9=8,A9=11),预算输入!$C$25/2,IF(OR(A9=16,A9=22),预算输入!$C$25,0))</f>
        <v>0</v>
      </c>
      <c r="M9" s="16">
        <f>C9*用量测算!$B$14+D9*用量测算!$B$15+E9*用量测算!$B$16</f>
        <v>0</v>
      </c>
      <c r="N9" s="16">
        <f>IF(A9=1,预算输入!$C$23*0.6,IF(A9=7,预算输入!$C$23*0.4,0))</f>
        <v>0</v>
      </c>
      <c r="O9" s="16">
        <f>SUM(F9:N9)-R9+IF(A9=1,SUM(预算输入!$C$29:$C$31),0)</f>
        <v>96996</v>
      </c>
      <c r="P9" s="16">
        <f>SUM($O$8:O9)</f>
        <v>223992</v>
      </c>
      <c r="Q9" s="16">
        <f t="shared" si="1"/>
        <v>96996</v>
      </c>
      <c r="R9" s="16">
        <f t="shared" ref="R9:R31" si="3">MIN(S8,H9+M9)</f>
        <v>0</v>
      </c>
      <c r="S9" s="16">
        <f t="shared" ref="S9:S31" si="4">S8-R9</f>
        <v>0</v>
      </c>
      <c r="T9" s="16">
        <f t="shared" si="2"/>
        <v>936</v>
      </c>
    </row>
    <row r="10" spans="1:20" ht="30" customHeight="1">
      <c r="A10" s="13">
        <f>3</f>
        <v>3</v>
      </c>
      <c r="B10" s="14">
        <f t="shared" si="0"/>
        <v>46388</v>
      </c>
      <c r="C10" s="15">
        <f>0</f>
        <v>0</v>
      </c>
      <c r="D10" s="15">
        <f>0</f>
        <v>0</v>
      </c>
      <c r="E10" s="15">
        <f>0</f>
        <v>0</v>
      </c>
      <c r="F10" s="16">
        <f>预算输入!$C$9*预算输入!$C$10*(1+预算输入!$C$11)</f>
        <v>75000</v>
      </c>
      <c r="G10" s="16">
        <f>预算输入!$C$9*预算输入!$C$12*预算输入!$C$13</f>
        <v>17500</v>
      </c>
      <c r="H10" s="16">
        <f>用量测算!$B$17</f>
        <v>936</v>
      </c>
      <c r="I10" s="16">
        <f>(预算输入!B39+预算输入!C39)*预算输入!D39+预算输入!E39*预算输入!$C$21</f>
        <v>560</v>
      </c>
      <c r="J10" s="16">
        <f>预算输入!$C$22</f>
        <v>3000</v>
      </c>
      <c r="K10" s="16">
        <f>IF(MOD(A10,3)=0,预算输入!$C$24/4,0)</f>
        <v>15000</v>
      </c>
      <c r="L10" s="16">
        <f>IF(OR(A10=8,A10=11),预算输入!$C$25/2,IF(OR(A10=16,A10=22),预算输入!$C$25,0))</f>
        <v>0</v>
      </c>
      <c r="M10" s="16">
        <f>C10*用量测算!$B$14+D10*用量测算!$B$15+E10*用量测算!$B$16</f>
        <v>0</v>
      </c>
      <c r="N10" s="16">
        <f>IF(A10=1,预算输入!$C$23*0.6,IF(A10=7,预算输入!$C$23*0.4,0))</f>
        <v>0</v>
      </c>
      <c r="O10" s="16">
        <f>SUM(F10:N10)-R10+IF(A10=1,SUM(预算输入!$C$29:$C$31),0)</f>
        <v>111996</v>
      </c>
      <c r="P10" s="16">
        <f>SUM($O$8:O10)</f>
        <v>335988</v>
      </c>
      <c r="Q10" s="16">
        <f t="shared" si="1"/>
        <v>96996</v>
      </c>
      <c r="R10" s="16">
        <f t="shared" si="3"/>
        <v>0</v>
      </c>
      <c r="S10" s="16">
        <f t="shared" si="4"/>
        <v>0</v>
      </c>
      <c r="T10" s="16">
        <f t="shared" si="2"/>
        <v>936</v>
      </c>
    </row>
    <row r="11" spans="1:20" ht="30" customHeight="1">
      <c r="A11" s="13">
        <f>4</f>
        <v>4</v>
      </c>
      <c r="B11" s="14">
        <f t="shared" si="0"/>
        <v>46419</v>
      </c>
      <c r="C11" s="15">
        <f>0</f>
        <v>0</v>
      </c>
      <c r="D11" s="15">
        <f>0</f>
        <v>0</v>
      </c>
      <c r="E11" s="15">
        <f>0</f>
        <v>0</v>
      </c>
      <c r="F11" s="16">
        <f>预算输入!$C$9*预算输入!$C$10*(1+预算输入!$C$11)</f>
        <v>75000</v>
      </c>
      <c r="G11" s="16">
        <f>预算输入!$C$9*预算输入!$C$12*预算输入!$C$13</f>
        <v>17500</v>
      </c>
      <c r="H11" s="16">
        <f>用量测算!$B$17</f>
        <v>936</v>
      </c>
      <c r="I11" s="16">
        <f>(预算输入!B39+预算输入!C39)*预算输入!D39+预算输入!E39*预算输入!$C$21</f>
        <v>560</v>
      </c>
      <c r="J11" s="16">
        <f>预算输入!$C$22</f>
        <v>3000</v>
      </c>
      <c r="K11" s="16">
        <f>IF(MOD(A11,3)=0,预算输入!$C$24/4,0)</f>
        <v>0</v>
      </c>
      <c r="L11" s="16">
        <f>IF(OR(A11=8,A11=11),预算输入!$C$25/2,IF(OR(A11=16,A11=22),预算输入!$C$25,0))</f>
        <v>0</v>
      </c>
      <c r="M11" s="16">
        <f>C11*用量测算!$B$14+D11*用量测算!$B$15+E11*用量测算!$B$16</f>
        <v>0</v>
      </c>
      <c r="N11" s="16">
        <f>IF(A11=1,预算输入!$C$23*0.6,IF(A11=7,预算输入!$C$23*0.4,0))</f>
        <v>0</v>
      </c>
      <c r="O11" s="16">
        <f>SUM(F11:N11)-R11+IF(A11=1,SUM(预算输入!$C$29:$C$31),0)</f>
        <v>96996</v>
      </c>
      <c r="P11" s="16">
        <f>SUM($O$8:O11)</f>
        <v>432984</v>
      </c>
      <c r="Q11" s="16">
        <f t="shared" si="1"/>
        <v>96996</v>
      </c>
      <c r="R11" s="16">
        <f t="shared" si="3"/>
        <v>0</v>
      </c>
      <c r="S11" s="16">
        <f t="shared" si="4"/>
        <v>0</v>
      </c>
      <c r="T11" s="16">
        <f t="shared" si="2"/>
        <v>936</v>
      </c>
    </row>
    <row r="12" spans="1:20" ht="30" customHeight="1">
      <c r="A12" s="13">
        <f>5</f>
        <v>5</v>
      </c>
      <c r="B12" s="14">
        <f t="shared" si="0"/>
        <v>46447</v>
      </c>
      <c r="C12" s="15">
        <f>0</f>
        <v>0</v>
      </c>
      <c r="D12" s="15">
        <f>0</f>
        <v>0</v>
      </c>
      <c r="E12" s="15">
        <f>0</f>
        <v>0</v>
      </c>
      <c r="F12" s="16">
        <f>预算输入!$C$9*预算输入!$C$10*(1+预算输入!$C$11)</f>
        <v>75000</v>
      </c>
      <c r="G12" s="16">
        <f>预算输入!$C$9*预算输入!$C$12*预算输入!$C$13</f>
        <v>17500</v>
      </c>
      <c r="H12" s="16">
        <f>用量测算!$B$17</f>
        <v>936</v>
      </c>
      <c r="I12" s="16">
        <f>(预算输入!B39+预算输入!C39)*预算输入!D39+预算输入!E39*预算输入!$C$21</f>
        <v>560</v>
      </c>
      <c r="J12" s="16">
        <f>预算输入!$C$22</f>
        <v>3000</v>
      </c>
      <c r="K12" s="16">
        <f>IF(MOD(A12,3)=0,预算输入!$C$24/4,0)</f>
        <v>0</v>
      </c>
      <c r="L12" s="16">
        <f>IF(OR(A12=8,A12=11),预算输入!$C$25/2,IF(OR(A12=16,A12=22),预算输入!$C$25,0))</f>
        <v>0</v>
      </c>
      <c r="M12" s="16">
        <f>C12*用量测算!$B$14+D12*用量测算!$B$15+E12*用量测算!$B$16</f>
        <v>0</v>
      </c>
      <c r="N12" s="16">
        <f>IF(A12=1,预算输入!$C$23*0.6,IF(A12=7,预算输入!$C$23*0.4,0))</f>
        <v>0</v>
      </c>
      <c r="O12" s="16">
        <f>SUM(F12:N12)-R12+IF(A12=1,SUM(预算输入!$C$29:$C$31),0)</f>
        <v>96996</v>
      </c>
      <c r="P12" s="16">
        <f>SUM($O$8:O12)</f>
        <v>529980</v>
      </c>
      <c r="Q12" s="16">
        <f t="shared" si="1"/>
        <v>96996</v>
      </c>
      <c r="R12" s="16">
        <f t="shared" si="3"/>
        <v>0</v>
      </c>
      <c r="S12" s="16">
        <f t="shared" si="4"/>
        <v>0</v>
      </c>
      <c r="T12" s="16">
        <f t="shared" si="2"/>
        <v>936</v>
      </c>
    </row>
    <row r="13" spans="1:20" ht="30" customHeight="1">
      <c r="A13" s="13">
        <f>6</f>
        <v>6</v>
      </c>
      <c r="B13" s="14">
        <f t="shared" si="0"/>
        <v>46478</v>
      </c>
      <c r="C13" s="15">
        <f>0</f>
        <v>0</v>
      </c>
      <c r="D13" s="15">
        <f>0</f>
        <v>0</v>
      </c>
      <c r="E13" s="15">
        <f>0</f>
        <v>0</v>
      </c>
      <c r="F13" s="16">
        <f>预算输入!$C$9*预算输入!$C$10*(1+预算输入!$C$11)</f>
        <v>75000</v>
      </c>
      <c r="G13" s="16">
        <f>预算输入!$C$9*预算输入!$C$12*预算输入!$C$13</f>
        <v>17500</v>
      </c>
      <c r="H13" s="16">
        <f>用量测算!$B$17</f>
        <v>936</v>
      </c>
      <c r="I13" s="16">
        <f>(预算输入!B39+预算输入!C39)*预算输入!D39+预算输入!E39*预算输入!$C$21</f>
        <v>560</v>
      </c>
      <c r="J13" s="16">
        <f>预算输入!$C$22</f>
        <v>3000</v>
      </c>
      <c r="K13" s="16">
        <f>IF(MOD(A13,3)=0,预算输入!$C$24/4,0)</f>
        <v>15000</v>
      </c>
      <c r="L13" s="16">
        <f>IF(OR(A13=8,A13=11),预算输入!$C$25/2,IF(OR(A13=16,A13=22),预算输入!$C$25,0))</f>
        <v>0</v>
      </c>
      <c r="M13" s="16">
        <f>C13*用量测算!$B$14+D13*用量测算!$B$15+E13*用量测算!$B$16</f>
        <v>0</v>
      </c>
      <c r="N13" s="16">
        <f>IF(A13=1,预算输入!$C$23*0.6,IF(A13=7,预算输入!$C$23*0.4,0))</f>
        <v>0</v>
      </c>
      <c r="O13" s="16">
        <f>SUM(F13:N13)-R13+IF(A13=1,SUM(预算输入!$C$29:$C$31),0)</f>
        <v>111996</v>
      </c>
      <c r="P13" s="16">
        <f>SUM($O$8:O13)</f>
        <v>641976</v>
      </c>
      <c r="Q13" s="16">
        <f t="shared" si="1"/>
        <v>96996</v>
      </c>
      <c r="R13" s="16">
        <f t="shared" si="3"/>
        <v>0</v>
      </c>
      <c r="S13" s="16">
        <f t="shared" si="4"/>
        <v>0</v>
      </c>
      <c r="T13" s="16">
        <f t="shared" si="2"/>
        <v>936</v>
      </c>
    </row>
    <row r="14" spans="1:20" ht="30" customHeight="1">
      <c r="A14" s="13">
        <f>7</f>
        <v>7</v>
      </c>
      <c r="B14" s="14">
        <f t="shared" si="0"/>
        <v>46508</v>
      </c>
      <c r="C14" s="15">
        <f>预算输入!B45*预算输入!$C$20*预算输入!$C$33</f>
        <v>30</v>
      </c>
      <c r="D14" s="15">
        <f>预算输入!C45*预算输入!$C$20*预算输入!$C$33</f>
        <v>3</v>
      </c>
      <c r="E14" s="15">
        <f>预算输入!D45*预算输入!$C$20*预算输入!$C$33</f>
        <v>10</v>
      </c>
      <c r="F14" s="16">
        <f>预算输入!$C$9*预算输入!$C$10*(1+预算输入!$C$11)</f>
        <v>75000</v>
      </c>
      <c r="G14" s="16">
        <f>预算输入!$C$9*预算输入!$C$12*预算输入!$C$13</f>
        <v>17500</v>
      </c>
      <c r="H14" s="16">
        <f>用量测算!$B$17</f>
        <v>936</v>
      </c>
      <c r="I14" s="16">
        <f>(预算输入!B40+预算输入!C40)*预算输入!D40+预算输入!E40*预算输入!$C$21</f>
        <v>1140</v>
      </c>
      <c r="J14" s="16">
        <f>预算输入!$C$22</f>
        <v>3000</v>
      </c>
      <c r="K14" s="16">
        <f>IF(MOD(A14,3)=0,预算输入!$C$24/4,0)</f>
        <v>0</v>
      </c>
      <c r="L14" s="16">
        <f>IF(OR(A14=8,A14=11),预算输入!$C$25/2,IF(OR(A14=16,A14=22),预算输入!$C$25,0))</f>
        <v>0</v>
      </c>
      <c r="M14" s="16">
        <f>C14*用量测算!$B$14+D14*用量测算!$B$15+E14*用量测算!$B$16</f>
        <v>536.93395199999998</v>
      </c>
      <c r="N14" s="16">
        <f>IF(A14=1,预算输入!$C$23*0.6,IF(A14=7,预算输入!$C$23*0.4,0))</f>
        <v>20000</v>
      </c>
      <c r="O14" s="16">
        <f>SUM(F14:N14)-R14+IF(A14=1,SUM(预算输入!$C$29:$C$31),0)</f>
        <v>118112.93395200001</v>
      </c>
      <c r="P14" s="16">
        <f>SUM($O$8:O14)</f>
        <v>760088.93395199999</v>
      </c>
      <c r="Q14" s="16">
        <f t="shared" si="1"/>
        <v>98112.933952000007</v>
      </c>
      <c r="R14" s="16">
        <f t="shared" si="3"/>
        <v>0</v>
      </c>
      <c r="S14" s="16">
        <f t="shared" si="4"/>
        <v>0</v>
      </c>
      <c r="T14" s="16">
        <f t="shared" si="2"/>
        <v>1472.9339519999999</v>
      </c>
    </row>
    <row r="15" spans="1:20" ht="30" customHeight="1">
      <c r="A15" s="13">
        <f>8</f>
        <v>8</v>
      </c>
      <c r="B15" s="14">
        <f t="shared" si="0"/>
        <v>46539</v>
      </c>
      <c r="C15" s="15">
        <f>预算输入!B45*预算输入!$C$20*预算输入!$C$33</f>
        <v>30</v>
      </c>
      <c r="D15" s="15">
        <f>预算输入!C45*预算输入!$C$20*预算输入!$C$33</f>
        <v>3</v>
      </c>
      <c r="E15" s="15">
        <f>预算输入!D45*预算输入!$C$20*预算输入!$C$33</f>
        <v>10</v>
      </c>
      <c r="F15" s="16">
        <f>预算输入!$C$9*预算输入!$C$10*(1+预算输入!$C$11)</f>
        <v>75000</v>
      </c>
      <c r="G15" s="16">
        <f>预算输入!$C$9*预算输入!$C$12*预算输入!$C$13</f>
        <v>17500</v>
      </c>
      <c r="H15" s="16">
        <f>用量测算!$B$17</f>
        <v>936</v>
      </c>
      <c r="I15" s="16">
        <f>(预算输入!B40+预算输入!C40)*预算输入!D40+预算输入!E40*预算输入!$C$21</f>
        <v>1140</v>
      </c>
      <c r="J15" s="16">
        <f>预算输入!$C$22</f>
        <v>3000</v>
      </c>
      <c r="K15" s="16">
        <f>IF(MOD(A15,3)=0,预算输入!$C$24/4,0)</f>
        <v>0</v>
      </c>
      <c r="L15" s="16">
        <f>IF(OR(A15=8,A15=11),预算输入!$C$25/2,IF(OR(A15=16,A15=22),预算输入!$C$25,0))</f>
        <v>10000</v>
      </c>
      <c r="M15" s="16">
        <f>C15*用量测算!$B$14+D15*用量测算!$B$15+E15*用量测算!$B$16</f>
        <v>536.93395199999998</v>
      </c>
      <c r="N15" s="16">
        <f>IF(A15=1,预算输入!$C$23*0.6,IF(A15=7,预算输入!$C$23*0.4,0))</f>
        <v>0</v>
      </c>
      <c r="O15" s="16">
        <f>SUM(F15:N15)-R15+IF(A15=1,SUM(预算输入!$C$29:$C$31),0)</f>
        <v>108112.93395200001</v>
      </c>
      <c r="P15" s="16">
        <f>SUM($O$8:O15)</f>
        <v>868201.86790399998</v>
      </c>
      <c r="Q15" s="16">
        <f t="shared" si="1"/>
        <v>98112.933952000007</v>
      </c>
      <c r="R15" s="16">
        <f t="shared" si="3"/>
        <v>0</v>
      </c>
      <c r="S15" s="16">
        <f t="shared" si="4"/>
        <v>0</v>
      </c>
      <c r="T15" s="16">
        <f t="shared" si="2"/>
        <v>1472.9339519999999</v>
      </c>
    </row>
    <row r="16" spans="1:20" ht="30" customHeight="1">
      <c r="A16" s="13">
        <f>9</f>
        <v>9</v>
      </c>
      <c r="B16" s="14">
        <f t="shared" si="0"/>
        <v>46569</v>
      </c>
      <c r="C16" s="15">
        <f>预算输入!B45*预算输入!$C$20*预算输入!$C$33</f>
        <v>30</v>
      </c>
      <c r="D16" s="15">
        <f>预算输入!C45*预算输入!$C$20*预算输入!$C$33</f>
        <v>3</v>
      </c>
      <c r="E16" s="15">
        <f>预算输入!D45*预算输入!$C$20*预算输入!$C$33</f>
        <v>10</v>
      </c>
      <c r="F16" s="16">
        <f>预算输入!$C$9*预算输入!$C$10*(1+预算输入!$C$11)</f>
        <v>75000</v>
      </c>
      <c r="G16" s="16">
        <f>预算输入!$C$9*预算输入!$C$12*预算输入!$C$13</f>
        <v>17500</v>
      </c>
      <c r="H16" s="16">
        <f>用量测算!$B$17</f>
        <v>936</v>
      </c>
      <c r="I16" s="16">
        <f>(预算输入!B40+预算输入!C40)*预算输入!D40+预算输入!E40*预算输入!$C$21</f>
        <v>1140</v>
      </c>
      <c r="J16" s="16">
        <f>预算输入!$C$22</f>
        <v>3000</v>
      </c>
      <c r="K16" s="16">
        <f>IF(MOD(A16,3)=0,预算输入!$C$24/4,0)</f>
        <v>15000</v>
      </c>
      <c r="L16" s="16">
        <f>IF(OR(A16=8,A16=11),预算输入!$C$25/2,IF(OR(A16=16,A16=22),预算输入!$C$25,0))</f>
        <v>0</v>
      </c>
      <c r="M16" s="16">
        <f>C16*用量测算!$B$14+D16*用量测算!$B$15+E16*用量测算!$B$16</f>
        <v>536.93395199999998</v>
      </c>
      <c r="N16" s="16">
        <f>IF(A16=1,预算输入!$C$23*0.6,IF(A16=7,预算输入!$C$23*0.4,0))</f>
        <v>0</v>
      </c>
      <c r="O16" s="16">
        <f>SUM(F16:N16)-R16+IF(A16=1,SUM(预算输入!$C$29:$C$31),0)</f>
        <v>113112.93395200001</v>
      </c>
      <c r="P16" s="16">
        <f>SUM($O$8:O16)</f>
        <v>981314.80185599998</v>
      </c>
      <c r="Q16" s="16">
        <f t="shared" si="1"/>
        <v>98112.933952000007</v>
      </c>
      <c r="R16" s="16">
        <f t="shared" si="3"/>
        <v>0</v>
      </c>
      <c r="S16" s="16">
        <f t="shared" si="4"/>
        <v>0</v>
      </c>
      <c r="T16" s="16">
        <f t="shared" si="2"/>
        <v>1472.9339519999999</v>
      </c>
    </row>
    <row r="17" spans="1:20" ht="30" customHeight="1">
      <c r="A17" s="13">
        <f>10</f>
        <v>10</v>
      </c>
      <c r="B17" s="14">
        <f t="shared" si="0"/>
        <v>46600</v>
      </c>
      <c r="C17" s="15">
        <f>预算输入!B46*预算输入!$C$20*预算输入!$C$33</f>
        <v>60</v>
      </c>
      <c r="D17" s="15">
        <f>预算输入!C46*预算输入!$C$20*预算输入!$C$33</f>
        <v>6</v>
      </c>
      <c r="E17" s="15">
        <f>预算输入!D46*预算输入!$C$20*预算输入!$C$33</f>
        <v>20</v>
      </c>
      <c r="F17" s="16">
        <f>预算输入!$C$9*预算输入!$C$10*(1+预算输入!$C$11)</f>
        <v>75000</v>
      </c>
      <c r="G17" s="16">
        <f>预算输入!$C$9*预算输入!$C$12*预算输入!$C$13</f>
        <v>17500</v>
      </c>
      <c r="H17" s="16">
        <f>用量测算!$B$17</f>
        <v>936</v>
      </c>
      <c r="I17" s="16">
        <f>(预算输入!B40+预算输入!C40)*预算输入!D40+预算输入!E40*预算输入!$C$21</f>
        <v>1140</v>
      </c>
      <c r="J17" s="16">
        <f>预算输入!$C$22</f>
        <v>3000</v>
      </c>
      <c r="K17" s="16">
        <f>IF(MOD(A17,3)=0,预算输入!$C$24/4,0)</f>
        <v>0</v>
      </c>
      <c r="L17" s="16">
        <f>IF(OR(A17=8,A17=11),预算输入!$C$25/2,IF(OR(A17=16,A17=22),预算输入!$C$25,0))</f>
        <v>0</v>
      </c>
      <c r="M17" s="16">
        <f>C17*用量测算!$B$14+D17*用量测算!$B$15+E17*用量测算!$B$16</f>
        <v>1073.867904</v>
      </c>
      <c r="N17" s="16">
        <f>IF(A17=1,预算输入!$C$23*0.6,IF(A17=7,预算输入!$C$23*0.4,0))</f>
        <v>0</v>
      </c>
      <c r="O17" s="16">
        <f>SUM(F17:N17)-R17+IF(A17=1,SUM(预算输入!$C$29:$C$31),0)</f>
        <v>98649.867903999999</v>
      </c>
      <c r="P17" s="16">
        <f>SUM($O$8:O17)</f>
        <v>1079964.66976</v>
      </c>
      <c r="Q17" s="16">
        <f t="shared" si="1"/>
        <v>98649.867903999999</v>
      </c>
      <c r="R17" s="16">
        <f t="shared" si="3"/>
        <v>0</v>
      </c>
      <c r="S17" s="16">
        <f t="shared" si="4"/>
        <v>0</v>
      </c>
      <c r="T17" s="16">
        <f t="shared" si="2"/>
        <v>2009.867904</v>
      </c>
    </row>
    <row r="18" spans="1:20" ht="30" customHeight="1">
      <c r="A18" s="13">
        <f>11</f>
        <v>11</v>
      </c>
      <c r="B18" s="14">
        <f t="shared" si="0"/>
        <v>46631</v>
      </c>
      <c r="C18" s="15">
        <f>预算输入!B46*预算输入!$C$20*预算输入!$C$33</f>
        <v>60</v>
      </c>
      <c r="D18" s="15">
        <f>预算输入!C46*预算输入!$C$20*预算输入!$C$33</f>
        <v>6</v>
      </c>
      <c r="E18" s="15">
        <f>预算输入!D46*预算输入!$C$20*预算输入!$C$33</f>
        <v>20</v>
      </c>
      <c r="F18" s="16">
        <f>预算输入!$C$9*预算输入!$C$10*(1+预算输入!$C$11)</f>
        <v>75000</v>
      </c>
      <c r="G18" s="16">
        <f>预算输入!$C$9*预算输入!$C$12*预算输入!$C$13</f>
        <v>17500</v>
      </c>
      <c r="H18" s="16">
        <f>用量测算!$B$17</f>
        <v>936</v>
      </c>
      <c r="I18" s="16">
        <f>(预算输入!B40+预算输入!C40)*预算输入!D40+预算输入!E40*预算输入!$C$21</f>
        <v>1140</v>
      </c>
      <c r="J18" s="16">
        <f>预算输入!$C$22</f>
        <v>3000</v>
      </c>
      <c r="K18" s="16">
        <f>IF(MOD(A18,3)=0,预算输入!$C$24/4,0)</f>
        <v>0</v>
      </c>
      <c r="L18" s="16">
        <f>IF(OR(A18=8,A18=11),预算输入!$C$25/2,IF(OR(A18=16,A18=22),预算输入!$C$25,0))</f>
        <v>10000</v>
      </c>
      <c r="M18" s="16">
        <f>C18*用量测算!$B$14+D18*用量测算!$B$15+E18*用量测算!$B$16</f>
        <v>1073.867904</v>
      </c>
      <c r="N18" s="16">
        <f>IF(A18=1,预算输入!$C$23*0.6,IF(A18=7,预算输入!$C$23*0.4,0))</f>
        <v>0</v>
      </c>
      <c r="O18" s="16">
        <f>SUM(F18:N18)-R18+IF(A18=1,SUM(预算输入!$C$29:$C$31),0)</f>
        <v>108649.867904</v>
      </c>
      <c r="P18" s="16">
        <f>SUM($O$8:O18)</f>
        <v>1188614.5376639999</v>
      </c>
      <c r="Q18" s="16">
        <f t="shared" si="1"/>
        <v>98649.867903999999</v>
      </c>
      <c r="R18" s="16">
        <f t="shared" si="3"/>
        <v>0</v>
      </c>
      <c r="S18" s="16">
        <f t="shared" si="4"/>
        <v>0</v>
      </c>
      <c r="T18" s="16">
        <f t="shared" si="2"/>
        <v>2009.867904</v>
      </c>
    </row>
    <row r="19" spans="1:20" ht="30" customHeight="1">
      <c r="A19" s="13">
        <f>12</f>
        <v>12</v>
      </c>
      <c r="B19" s="14">
        <f t="shared" si="0"/>
        <v>46661</v>
      </c>
      <c r="C19" s="15">
        <f>预算输入!B46*预算输入!$C$20*预算输入!$C$33</f>
        <v>60</v>
      </c>
      <c r="D19" s="15">
        <f>预算输入!C46*预算输入!$C$20*预算输入!$C$33</f>
        <v>6</v>
      </c>
      <c r="E19" s="15">
        <f>预算输入!D46*预算输入!$C$20*预算输入!$C$33</f>
        <v>20</v>
      </c>
      <c r="F19" s="16">
        <f>预算输入!$C$9*预算输入!$C$10*(1+预算输入!$C$11)</f>
        <v>75000</v>
      </c>
      <c r="G19" s="16">
        <f>预算输入!$C$9*预算输入!$C$12*预算输入!$C$13</f>
        <v>17500</v>
      </c>
      <c r="H19" s="16">
        <f>用量测算!$B$17</f>
        <v>936</v>
      </c>
      <c r="I19" s="16">
        <f>(预算输入!B40+预算输入!C40)*预算输入!D40+预算输入!E40*预算输入!$C$21</f>
        <v>1140</v>
      </c>
      <c r="J19" s="16">
        <f>预算输入!$C$22</f>
        <v>3000</v>
      </c>
      <c r="K19" s="16">
        <f>IF(MOD(A19,3)=0,预算输入!$C$24/4,0)</f>
        <v>15000</v>
      </c>
      <c r="L19" s="16">
        <f>IF(OR(A19=8,A19=11),预算输入!$C$25/2,IF(OR(A19=16,A19=22),预算输入!$C$25,0))</f>
        <v>0</v>
      </c>
      <c r="M19" s="16">
        <f>C19*用量测算!$B$14+D19*用量测算!$B$15+E19*用量测算!$B$16</f>
        <v>1073.867904</v>
      </c>
      <c r="N19" s="16">
        <f>IF(A19=1,预算输入!$C$23*0.6,IF(A19=7,预算输入!$C$23*0.4,0))</f>
        <v>0</v>
      </c>
      <c r="O19" s="16">
        <f>SUM(F19:N19)-R19+IF(A19=1,SUM(预算输入!$C$29:$C$31),0)</f>
        <v>113649.867904</v>
      </c>
      <c r="P19" s="16">
        <f>SUM($O$8:O19)</f>
        <v>1302264.4055679999</v>
      </c>
      <c r="Q19" s="16">
        <f t="shared" si="1"/>
        <v>98649.867903999999</v>
      </c>
      <c r="R19" s="16">
        <f t="shared" si="3"/>
        <v>0</v>
      </c>
      <c r="S19" s="16">
        <f t="shared" si="4"/>
        <v>0</v>
      </c>
      <c r="T19" s="16">
        <f t="shared" si="2"/>
        <v>2009.867904</v>
      </c>
    </row>
    <row r="20" spans="1:20" ht="30" customHeight="1">
      <c r="A20" s="13">
        <f>13</f>
        <v>13</v>
      </c>
      <c r="B20" s="14">
        <f t="shared" si="0"/>
        <v>46692</v>
      </c>
      <c r="C20" s="15">
        <f>预算输入!B47*预算输入!$C$20*预算输入!$C$33</f>
        <v>120</v>
      </c>
      <c r="D20" s="15">
        <f>预算输入!C47*预算输入!$C$20*预算输入!$C$33</f>
        <v>12</v>
      </c>
      <c r="E20" s="15">
        <f>预算输入!D47*预算输入!$C$20*预算输入!$C$33</f>
        <v>50</v>
      </c>
      <c r="F20" s="16">
        <f>预算输入!$C$9*预算输入!$C$10*(1+预算输入!$C$11)</f>
        <v>75000</v>
      </c>
      <c r="G20" s="16">
        <f>预算输入!$C$9*预算输入!$C$12*预算输入!$C$13</f>
        <v>17500</v>
      </c>
      <c r="H20" s="16">
        <f>用量测算!$B$17</f>
        <v>936</v>
      </c>
      <c r="I20" s="16">
        <f>(预算输入!B41+预算输入!C41)*预算输入!D41+预算输入!E41*预算输入!$C$21</f>
        <v>1990</v>
      </c>
      <c r="J20" s="16">
        <f>预算输入!$C$22</f>
        <v>3000</v>
      </c>
      <c r="K20" s="16">
        <f>IF(MOD(A20,3)=0,预算输入!$C$24/4,0)</f>
        <v>0</v>
      </c>
      <c r="L20" s="16">
        <f>IF(OR(A20=8,A20=11),预算输入!$C$25/2,IF(OR(A20=16,A20=22),预算输入!$C$25,0))</f>
        <v>0</v>
      </c>
      <c r="M20" s="16">
        <f>C20*用量测算!$B$14+D20*用量测算!$B$15+E20*用量测算!$B$16</f>
        <v>2522.135808</v>
      </c>
      <c r="N20" s="16">
        <f>IF(A20=1,预算输入!$C$23*0.6,IF(A20=7,预算输入!$C$23*0.4,0))</f>
        <v>0</v>
      </c>
      <c r="O20" s="16">
        <f>SUM(F20:N20)-R20+IF(A20=1,SUM(预算输入!$C$29:$C$31),0)</f>
        <v>100948.13580800001</v>
      </c>
      <c r="P20" s="16">
        <f>SUM($O$8:O20)</f>
        <v>1403212.541376</v>
      </c>
      <c r="Q20" s="16">
        <f t="shared" si="1"/>
        <v>100948.13580800001</v>
      </c>
      <c r="R20" s="16">
        <f t="shared" si="3"/>
        <v>0</v>
      </c>
      <c r="S20" s="16">
        <f t="shared" si="4"/>
        <v>0</v>
      </c>
      <c r="T20" s="16">
        <f t="shared" si="2"/>
        <v>3458.135808</v>
      </c>
    </row>
    <row r="21" spans="1:20" ht="30" customHeight="1">
      <c r="A21" s="13">
        <f>14</f>
        <v>14</v>
      </c>
      <c r="B21" s="14">
        <f t="shared" si="0"/>
        <v>46722</v>
      </c>
      <c r="C21" s="15">
        <f>预算输入!B47*预算输入!$C$20*预算输入!$C$33</f>
        <v>120</v>
      </c>
      <c r="D21" s="15">
        <f>预算输入!C47*预算输入!$C$20*预算输入!$C$33</f>
        <v>12</v>
      </c>
      <c r="E21" s="15">
        <f>预算输入!D47*预算输入!$C$20*预算输入!$C$33</f>
        <v>50</v>
      </c>
      <c r="F21" s="16">
        <f>预算输入!$C$9*预算输入!$C$10*(1+预算输入!$C$11)</f>
        <v>75000</v>
      </c>
      <c r="G21" s="16">
        <f>预算输入!$C$9*预算输入!$C$12*预算输入!$C$13</f>
        <v>17500</v>
      </c>
      <c r="H21" s="16">
        <f>用量测算!$B$17</f>
        <v>936</v>
      </c>
      <c r="I21" s="16">
        <f>(预算输入!B41+预算输入!C41)*预算输入!D41+预算输入!E41*预算输入!$C$21</f>
        <v>1990</v>
      </c>
      <c r="J21" s="16">
        <f>预算输入!$C$22</f>
        <v>3000</v>
      </c>
      <c r="K21" s="16">
        <f>IF(MOD(A21,3)=0,预算输入!$C$24/4,0)</f>
        <v>0</v>
      </c>
      <c r="L21" s="16">
        <f>IF(OR(A21=8,A21=11),预算输入!$C$25/2,IF(OR(A21=16,A21=22),预算输入!$C$25,0))</f>
        <v>0</v>
      </c>
      <c r="M21" s="16">
        <f>C21*用量测算!$B$14+D21*用量测算!$B$15+E21*用量测算!$B$16</f>
        <v>2522.135808</v>
      </c>
      <c r="N21" s="16">
        <f>IF(A21=1,预算输入!$C$23*0.6,IF(A21=7,预算输入!$C$23*0.4,0))</f>
        <v>0</v>
      </c>
      <c r="O21" s="16">
        <f>SUM(F21:N21)-R21+IF(A21=1,SUM(预算输入!$C$29:$C$31),0)</f>
        <v>100948.13580800001</v>
      </c>
      <c r="P21" s="16">
        <f>SUM($O$8:O21)</f>
        <v>1504160.6771840001</v>
      </c>
      <c r="Q21" s="16">
        <f t="shared" si="1"/>
        <v>100948.13580800001</v>
      </c>
      <c r="R21" s="16">
        <f t="shared" si="3"/>
        <v>0</v>
      </c>
      <c r="S21" s="16">
        <f t="shared" si="4"/>
        <v>0</v>
      </c>
      <c r="T21" s="16">
        <f t="shared" si="2"/>
        <v>3458.135808</v>
      </c>
    </row>
    <row r="22" spans="1:20" ht="30" customHeight="1">
      <c r="A22" s="13">
        <f>15</f>
        <v>15</v>
      </c>
      <c r="B22" s="14">
        <f t="shared" si="0"/>
        <v>46753</v>
      </c>
      <c r="C22" s="15">
        <f>预算输入!B47*预算输入!$C$20*预算输入!$C$33</f>
        <v>120</v>
      </c>
      <c r="D22" s="15">
        <f>预算输入!C47*预算输入!$C$20*预算输入!$C$33</f>
        <v>12</v>
      </c>
      <c r="E22" s="15">
        <f>预算输入!D47*预算输入!$C$20*预算输入!$C$33</f>
        <v>50</v>
      </c>
      <c r="F22" s="16">
        <f>预算输入!$C$9*预算输入!$C$10*(1+预算输入!$C$11)</f>
        <v>75000</v>
      </c>
      <c r="G22" s="16">
        <f>预算输入!$C$9*预算输入!$C$12*预算输入!$C$13</f>
        <v>17500</v>
      </c>
      <c r="H22" s="16">
        <f>用量测算!$B$17</f>
        <v>936</v>
      </c>
      <c r="I22" s="16">
        <f>(预算输入!B41+预算输入!C41)*预算输入!D41+预算输入!E41*预算输入!$C$21</f>
        <v>1990</v>
      </c>
      <c r="J22" s="16">
        <f>预算输入!$C$22</f>
        <v>3000</v>
      </c>
      <c r="K22" s="16">
        <f>IF(MOD(A22,3)=0,预算输入!$C$24/4,0)</f>
        <v>15000</v>
      </c>
      <c r="L22" s="16">
        <f>IF(OR(A22=8,A22=11),预算输入!$C$25/2,IF(OR(A22=16,A22=22),预算输入!$C$25,0))</f>
        <v>0</v>
      </c>
      <c r="M22" s="16">
        <f>C22*用量测算!$B$14+D22*用量测算!$B$15+E22*用量测算!$B$16</f>
        <v>2522.135808</v>
      </c>
      <c r="N22" s="16">
        <f>IF(A22=1,预算输入!$C$23*0.6,IF(A22=7,预算输入!$C$23*0.4,0))</f>
        <v>0</v>
      </c>
      <c r="O22" s="16">
        <f>SUM(F22:N22)-R22+IF(A22=1,SUM(预算输入!$C$29:$C$31),0)</f>
        <v>115948.13580800001</v>
      </c>
      <c r="P22" s="16">
        <f>SUM($O$8:O22)</f>
        <v>1620108.8129920003</v>
      </c>
      <c r="Q22" s="16">
        <f t="shared" si="1"/>
        <v>100948.13580800001</v>
      </c>
      <c r="R22" s="16">
        <f t="shared" si="3"/>
        <v>0</v>
      </c>
      <c r="S22" s="16">
        <f t="shared" si="4"/>
        <v>0</v>
      </c>
      <c r="T22" s="16">
        <f t="shared" si="2"/>
        <v>3458.135808</v>
      </c>
    </row>
    <row r="23" spans="1:20" ht="30" customHeight="1">
      <c r="A23" s="13">
        <f>16</f>
        <v>16</v>
      </c>
      <c r="B23" s="14">
        <f t="shared" si="0"/>
        <v>46784</v>
      </c>
      <c r="C23" s="15">
        <f>预算输入!B47*预算输入!$C$20*预算输入!$C$33</f>
        <v>120</v>
      </c>
      <c r="D23" s="15">
        <f>预算输入!C47*预算输入!$C$20*预算输入!$C$33</f>
        <v>12</v>
      </c>
      <c r="E23" s="15">
        <f>预算输入!D47*预算输入!$C$20*预算输入!$C$33</f>
        <v>50</v>
      </c>
      <c r="F23" s="16">
        <f>预算输入!$C$9*预算输入!$C$10*(1+预算输入!$C$11)</f>
        <v>75000</v>
      </c>
      <c r="G23" s="16">
        <f>预算输入!$C$9*预算输入!$C$12*预算输入!$C$13</f>
        <v>17500</v>
      </c>
      <c r="H23" s="16">
        <f>用量测算!$B$17</f>
        <v>936</v>
      </c>
      <c r="I23" s="16">
        <f>(预算输入!B41+预算输入!C41)*预算输入!D41+预算输入!E41*预算输入!$C$21</f>
        <v>1990</v>
      </c>
      <c r="J23" s="16">
        <f>预算输入!$C$22</f>
        <v>3000</v>
      </c>
      <c r="K23" s="16">
        <f>IF(MOD(A23,3)=0,预算输入!$C$24/4,0)</f>
        <v>0</v>
      </c>
      <c r="L23" s="16">
        <f>IF(OR(A23=8,A23=11),预算输入!$C$25/2,IF(OR(A23=16,A23=22),预算输入!$C$25,0))</f>
        <v>20000</v>
      </c>
      <c r="M23" s="16">
        <f>C23*用量测算!$B$14+D23*用量测算!$B$15+E23*用量测算!$B$16</f>
        <v>2522.135808</v>
      </c>
      <c r="N23" s="16">
        <f>IF(A23=1,预算输入!$C$23*0.6,IF(A23=7,预算输入!$C$23*0.4,0))</f>
        <v>0</v>
      </c>
      <c r="O23" s="16">
        <f>SUM(F23:N23)-R23+IF(A23=1,SUM(预算输入!$C$29:$C$31),0)</f>
        <v>120948.13580800001</v>
      </c>
      <c r="P23" s="16">
        <f>SUM($O$8:O23)</f>
        <v>1741056.9488000004</v>
      </c>
      <c r="Q23" s="16">
        <f t="shared" si="1"/>
        <v>100948.13580800001</v>
      </c>
      <c r="R23" s="16">
        <f t="shared" si="3"/>
        <v>0</v>
      </c>
      <c r="S23" s="16">
        <f t="shared" si="4"/>
        <v>0</v>
      </c>
      <c r="T23" s="16">
        <f t="shared" si="2"/>
        <v>3458.135808</v>
      </c>
    </row>
    <row r="24" spans="1:20" ht="30" customHeight="1">
      <c r="A24" s="13">
        <f>17</f>
        <v>17</v>
      </c>
      <c r="B24" s="14">
        <f t="shared" si="0"/>
        <v>46813</v>
      </c>
      <c r="C24" s="15">
        <f>预算输入!B47*预算输入!$C$20*预算输入!$C$33</f>
        <v>120</v>
      </c>
      <c r="D24" s="15">
        <f>预算输入!C47*预算输入!$C$20*预算输入!$C$33</f>
        <v>12</v>
      </c>
      <c r="E24" s="15">
        <f>预算输入!D47*预算输入!$C$20*预算输入!$C$33</f>
        <v>50</v>
      </c>
      <c r="F24" s="16">
        <f>预算输入!$C$9*预算输入!$C$10*(1+预算输入!$C$11)</f>
        <v>75000</v>
      </c>
      <c r="G24" s="16">
        <f>预算输入!$C$9*预算输入!$C$12*预算输入!$C$13</f>
        <v>17500</v>
      </c>
      <c r="H24" s="16">
        <f>用量测算!$B$17</f>
        <v>936</v>
      </c>
      <c r="I24" s="16">
        <f>(预算输入!B41+预算输入!C41)*预算输入!D41+预算输入!E41*预算输入!$C$21</f>
        <v>1990</v>
      </c>
      <c r="J24" s="16">
        <f>预算输入!$C$22</f>
        <v>3000</v>
      </c>
      <c r="K24" s="16">
        <f>IF(MOD(A24,3)=0,预算输入!$C$24/4,0)</f>
        <v>0</v>
      </c>
      <c r="L24" s="16">
        <f>IF(OR(A24=8,A24=11),预算输入!$C$25/2,IF(OR(A24=16,A24=22),预算输入!$C$25,0))</f>
        <v>0</v>
      </c>
      <c r="M24" s="16">
        <f>C24*用量测算!$B$14+D24*用量测算!$B$15+E24*用量测算!$B$16</f>
        <v>2522.135808</v>
      </c>
      <c r="N24" s="16">
        <f>IF(A24=1,预算输入!$C$23*0.6,IF(A24=7,预算输入!$C$23*0.4,0))</f>
        <v>0</v>
      </c>
      <c r="O24" s="16">
        <f>SUM(F24:N24)-R24+IF(A24=1,SUM(预算输入!$C$29:$C$31),0)</f>
        <v>100948.13580800001</v>
      </c>
      <c r="P24" s="16">
        <f>SUM($O$8:O24)</f>
        <v>1842005.0846080005</v>
      </c>
      <c r="Q24" s="16">
        <f t="shared" si="1"/>
        <v>100948.13580800001</v>
      </c>
      <c r="R24" s="16">
        <f t="shared" si="3"/>
        <v>0</v>
      </c>
      <c r="S24" s="16">
        <f t="shared" si="4"/>
        <v>0</v>
      </c>
      <c r="T24" s="16">
        <f t="shared" si="2"/>
        <v>3458.135808</v>
      </c>
    </row>
    <row r="25" spans="1:20" ht="30" customHeight="1">
      <c r="A25" s="13">
        <f>18</f>
        <v>18</v>
      </c>
      <c r="B25" s="14">
        <f t="shared" si="0"/>
        <v>46844</v>
      </c>
      <c r="C25" s="15">
        <f>预算输入!B47*预算输入!$C$20*预算输入!$C$33</f>
        <v>120</v>
      </c>
      <c r="D25" s="15">
        <f>预算输入!C47*预算输入!$C$20*预算输入!$C$33</f>
        <v>12</v>
      </c>
      <c r="E25" s="15">
        <f>预算输入!D47*预算输入!$C$20*预算输入!$C$33</f>
        <v>50</v>
      </c>
      <c r="F25" s="16">
        <f>预算输入!$C$9*预算输入!$C$10*(1+预算输入!$C$11)</f>
        <v>75000</v>
      </c>
      <c r="G25" s="16">
        <f>预算输入!$C$9*预算输入!$C$12*预算输入!$C$13</f>
        <v>17500</v>
      </c>
      <c r="H25" s="16">
        <f>用量测算!$B$17</f>
        <v>936</v>
      </c>
      <c r="I25" s="16">
        <f>(预算输入!B41+预算输入!C41)*预算输入!D41+预算输入!E41*预算输入!$C$21</f>
        <v>1990</v>
      </c>
      <c r="J25" s="16">
        <f>预算输入!$C$22</f>
        <v>3000</v>
      </c>
      <c r="K25" s="16">
        <f>IF(MOD(A25,3)=0,预算输入!$C$24/4,0)</f>
        <v>15000</v>
      </c>
      <c r="L25" s="16">
        <f>IF(OR(A25=8,A25=11),预算输入!$C$25/2,IF(OR(A25=16,A25=22),预算输入!$C$25,0))</f>
        <v>0</v>
      </c>
      <c r="M25" s="16">
        <f>C25*用量测算!$B$14+D25*用量测算!$B$15+E25*用量测算!$B$16</f>
        <v>2522.135808</v>
      </c>
      <c r="N25" s="16">
        <f>IF(A25=1,预算输入!$C$23*0.6,IF(A25=7,预算输入!$C$23*0.4,0))</f>
        <v>0</v>
      </c>
      <c r="O25" s="16">
        <f>SUM(F25:N25)-R25+IF(A25=1,SUM(预算输入!$C$29:$C$31),0)</f>
        <v>115948.13580800001</v>
      </c>
      <c r="P25" s="16">
        <f>SUM($O$8:O25)</f>
        <v>1957953.2204160006</v>
      </c>
      <c r="Q25" s="16">
        <f t="shared" si="1"/>
        <v>100948.13580800001</v>
      </c>
      <c r="R25" s="16">
        <f t="shared" si="3"/>
        <v>0</v>
      </c>
      <c r="S25" s="16">
        <f t="shared" si="4"/>
        <v>0</v>
      </c>
      <c r="T25" s="16">
        <f t="shared" si="2"/>
        <v>3458.135808</v>
      </c>
    </row>
    <row r="26" spans="1:20" ht="30" customHeight="1">
      <c r="A26" s="13">
        <f>19</f>
        <v>19</v>
      </c>
      <c r="B26" s="14">
        <f t="shared" si="0"/>
        <v>46874</v>
      </c>
      <c r="C26" s="15">
        <f>预算输入!B48*预算输入!$C$20*预算输入!$C$33</f>
        <v>240</v>
      </c>
      <c r="D26" s="15">
        <f>预算输入!C48*预算输入!$C$20*预算输入!$C$33</f>
        <v>24</v>
      </c>
      <c r="E26" s="15">
        <f>预算输入!D48*预算输入!$C$20*预算输入!$C$33</f>
        <v>100</v>
      </c>
      <c r="F26" s="16">
        <f>预算输入!$C$9*预算输入!$C$10*(1+预算输入!$C$11)</f>
        <v>75000</v>
      </c>
      <c r="G26" s="16">
        <f>预算输入!$C$9*预算输入!$C$12*预算输入!$C$13</f>
        <v>17500</v>
      </c>
      <c r="H26" s="16">
        <f>用量测算!$B$17</f>
        <v>936</v>
      </c>
      <c r="I26" s="16">
        <f>(预算输入!B41+预算输入!C41)*预算输入!D41+预算输入!E41*预算输入!$C$21</f>
        <v>1990</v>
      </c>
      <c r="J26" s="16">
        <f>预算输入!$C$22</f>
        <v>3000</v>
      </c>
      <c r="K26" s="16">
        <f>IF(MOD(A26,3)=0,预算输入!$C$24/4,0)</f>
        <v>0</v>
      </c>
      <c r="L26" s="16">
        <f>IF(OR(A26=8,A26=11),预算输入!$C$25/2,IF(OR(A26=16,A26=22),预算输入!$C$25,0))</f>
        <v>0</v>
      </c>
      <c r="M26" s="16">
        <f>C26*用量测算!$B$14+D26*用量测算!$B$15+E26*用量测算!$B$16</f>
        <v>5044.271616</v>
      </c>
      <c r="N26" s="16">
        <f>IF(A26=1,预算输入!$C$23*0.6,IF(A26=7,预算输入!$C$23*0.4,0))</f>
        <v>0</v>
      </c>
      <c r="O26" s="16">
        <f>SUM(F26:N26)-R26+IF(A26=1,SUM(预算输入!$C$29:$C$31),0)</f>
        <v>103470.271616</v>
      </c>
      <c r="P26" s="16">
        <f>SUM($O$8:O26)</f>
        <v>2061423.4920320006</v>
      </c>
      <c r="Q26" s="16">
        <f t="shared" si="1"/>
        <v>103470.271616</v>
      </c>
      <c r="R26" s="16">
        <f t="shared" si="3"/>
        <v>0</v>
      </c>
      <c r="S26" s="16">
        <f t="shared" si="4"/>
        <v>0</v>
      </c>
      <c r="T26" s="16">
        <f t="shared" si="2"/>
        <v>5980.271616</v>
      </c>
    </row>
    <row r="27" spans="1:20" ht="30" customHeight="1">
      <c r="A27" s="13">
        <f>20</f>
        <v>20</v>
      </c>
      <c r="B27" s="14">
        <f t="shared" si="0"/>
        <v>46905</v>
      </c>
      <c r="C27" s="15">
        <f>预算输入!B48*预算输入!$C$20*预算输入!$C$33</f>
        <v>240</v>
      </c>
      <c r="D27" s="15">
        <f>预算输入!C48*预算输入!$C$20*预算输入!$C$33</f>
        <v>24</v>
      </c>
      <c r="E27" s="15">
        <f>预算输入!D48*预算输入!$C$20*预算输入!$C$33</f>
        <v>100</v>
      </c>
      <c r="F27" s="16">
        <f>预算输入!$C$9*预算输入!$C$10*(1+预算输入!$C$11)</f>
        <v>75000</v>
      </c>
      <c r="G27" s="16">
        <f>预算输入!$C$9*预算输入!$C$12*预算输入!$C$13</f>
        <v>17500</v>
      </c>
      <c r="H27" s="16">
        <f>用量测算!$B$17</f>
        <v>936</v>
      </c>
      <c r="I27" s="16">
        <f>(预算输入!B41+预算输入!C41)*预算输入!D41+预算输入!E41*预算输入!$C$21</f>
        <v>1990</v>
      </c>
      <c r="J27" s="16">
        <f>预算输入!$C$22</f>
        <v>3000</v>
      </c>
      <c r="K27" s="16">
        <f>IF(MOD(A27,3)=0,预算输入!$C$24/4,0)</f>
        <v>0</v>
      </c>
      <c r="L27" s="16">
        <f>IF(OR(A27=8,A27=11),预算输入!$C$25/2,IF(OR(A27=16,A27=22),预算输入!$C$25,0))</f>
        <v>0</v>
      </c>
      <c r="M27" s="16">
        <f>C27*用量测算!$B$14+D27*用量测算!$B$15+E27*用量测算!$B$16</f>
        <v>5044.271616</v>
      </c>
      <c r="N27" s="16">
        <f>IF(A27=1,预算输入!$C$23*0.6,IF(A27=7,预算输入!$C$23*0.4,0))</f>
        <v>0</v>
      </c>
      <c r="O27" s="16">
        <f>SUM(F27:N27)-R27+IF(A27=1,SUM(预算输入!$C$29:$C$31),0)</f>
        <v>103470.271616</v>
      </c>
      <c r="P27" s="16">
        <f>SUM($O$8:O27)</f>
        <v>2164893.7636480005</v>
      </c>
      <c r="Q27" s="16">
        <f t="shared" si="1"/>
        <v>103470.271616</v>
      </c>
      <c r="R27" s="16">
        <f t="shared" si="3"/>
        <v>0</v>
      </c>
      <c r="S27" s="16">
        <f t="shared" si="4"/>
        <v>0</v>
      </c>
      <c r="T27" s="16">
        <f t="shared" si="2"/>
        <v>5980.271616</v>
      </c>
    </row>
    <row r="28" spans="1:20" ht="30" customHeight="1">
      <c r="A28" s="13">
        <f>21</f>
        <v>21</v>
      </c>
      <c r="B28" s="14">
        <f t="shared" si="0"/>
        <v>46935</v>
      </c>
      <c r="C28" s="15">
        <f>预算输入!B48*预算输入!$C$20*预算输入!$C$33</f>
        <v>240</v>
      </c>
      <c r="D28" s="15">
        <f>预算输入!C48*预算输入!$C$20*预算输入!$C$33</f>
        <v>24</v>
      </c>
      <c r="E28" s="15">
        <f>预算输入!D48*预算输入!$C$20*预算输入!$C$33</f>
        <v>100</v>
      </c>
      <c r="F28" s="16">
        <f>预算输入!$C$9*预算输入!$C$10*(1+预算输入!$C$11)</f>
        <v>75000</v>
      </c>
      <c r="G28" s="16">
        <f>预算输入!$C$9*预算输入!$C$12*预算输入!$C$13</f>
        <v>17500</v>
      </c>
      <c r="H28" s="16">
        <f>用量测算!$B$17</f>
        <v>936</v>
      </c>
      <c r="I28" s="16">
        <f>(预算输入!B41+预算输入!C41)*预算输入!D41+预算输入!E41*预算输入!$C$21</f>
        <v>1990</v>
      </c>
      <c r="J28" s="16">
        <f>预算输入!$C$22</f>
        <v>3000</v>
      </c>
      <c r="K28" s="16">
        <f>IF(MOD(A28,3)=0,预算输入!$C$24/4,0)</f>
        <v>15000</v>
      </c>
      <c r="L28" s="16">
        <f>IF(OR(A28=8,A28=11),预算输入!$C$25/2,IF(OR(A28=16,A28=22),预算输入!$C$25,0))</f>
        <v>0</v>
      </c>
      <c r="M28" s="16">
        <f>C28*用量测算!$B$14+D28*用量测算!$B$15+E28*用量测算!$B$16</f>
        <v>5044.271616</v>
      </c>
      <c r="N28" s="16">
        <f>IF(A28=1,预算输入!$C$23*0.6,IF(A28=7,预算输入!$C$23*0.4,0))</f>
        <v>0</v>
      </c>
      <c r="O28" s="16">
        <f>SUM(F28:N28)-R28+IF(A28=1,SUM(预算输入!$C$29:$C$31),0)</f>
        <v>118470.271616</v>
      </c>
      <c r="P28" s="16">
        <f>SUM($O$8:O28)</f>
        <v>2283364.0352640008</v>
      </c>
      <c r="Q28" s="16">
        <f t="shared" si="1"/>
        <v>103470.271616</v>
      </c>
      <c r="R28" s="16">
        <f t="shared" si="3"/>
        <v>0</v>
      </c>
      <c r="S28" s="16">
        <f t="shared" si="4"/>
        <v>0</v>
      </c>
      <c r="T28" s="16">
        <f t="shared" si="2"/>
        <v>5980.271616</v>
      </c>
    </row>
    <row r="29" spans="1:20" ht="30" customHeight="1">
      <c r="A29" s="13">
        <f>22</f>
        <v>22</v>
      </c>
      <c r="B29" s="14">
        <f t="shared" si="0"/>
        <v>46966</v>
      </c>
      <c r="C29" s="15">
        <f>预算输入!B48*预算输入!$C$20*预算输入!$C$33</f>
        <v>240</v>
      </c>
      <c r="D29" s="15">
        <f>预算输入!C48*预算输入!$C$20*预算输入!$C$33</f>
        <v>24</v>
      </c>
      <c r="E29" s="15">
        <f>预算输入!D48*预算输入!$C$20*预算输入!$C$33</f>
        <v>100</v>
      </c>
      <c r="F29" s="16">
        <f>预算输入!$C$9*预算输入!$C$10*(1+预算输入!$C$11)</f>
        <v>75000</v>
      </c>
      <c r="G29" s="16">
        <f>预算输入!$C$9*预算输入!$C$12*预算输入!$C$13</f>
        <v>17500</v>
      </c>
      <c r="H29" s="16">
        <f>用量测算!$B$17</f>
        <v>936</v>
      </c>
      <c r="I29" s="16">
        <f>(预算输入!B41+预算输入!C41)*预算输入!D41+预算输入!E41*预算输入!$C$21</f>
        <v>1990</v>
      </c>
      <c r="J29" s="16">
        <f>预算输入!$C$22</f>
        <v>3000</v>
      </c>
      <c r="K29" s="16">
        <f>IF(MOD(A29,3)=0,预算输入!$C$24/4,0)</f>
        <v>0</v>
      </c>
      <c r="L29" s="16">
        <f>IF(OR(A29=8,A29=11),预算输入!$C$25/2,IF(OR(A29=16,A29=22),预算输入!$C$25,0))</f>
        <v>20000</v>
      </c>
      <c r="M29" s="16">
        <f>C29*用量测算!$B$14+D29*用量测算!$B$15+E29*用量测算!$B$16</f>
        <v>5044.271616</v>
      </c>
      <c r="N29" s="16">
        <f>IF(A29=1,预算输入!$C$23*0.6,IF(A29=7,预算输入!$C$23*0.4,0))</f>
        <v>0</v>
      </c>
      <c r="O29" s="16">
        <f>SUM(F29:N29)-R29+IF(A29=1,SUM(预算输入!$C$29:$C$31),0)</f>
        <v>123470.271616</v>
      </c>
      <c r="P29" s="16">
        <f>SUM($O$8:O29)</f>
        <v>2406834.306880001</v>
      </c>
      <c r="Q29" s="16">
        <f t="shared" si="1"/>
        <v>103470.271616</v>
      </c>
      <c r="R29" s="16">
        <f t="shared" si="3"/>
        <v>0</v>
      </c>
      <c r="S29" s="16">
        <f t="shared" si="4"/>
        <v>0</v>
      </c>
      <c r="T29" s="16">
        <f t="shared" si="2"/>
        <v>5980.271616</v>
      </c>
    </row>
    <row r="30" spans="1:20" ht="30" customHeight="1">
      <c r="A30" s="13">
        <f>23</f>
        <v>23</v>
      </c>
      <c r="B30" s="14">
        <f t="shared" si="0"/>
        <v>46997</v>
      </c>
      <c r="C30" s="15">
        <f>预算输入!B48*预算输入!$C$20*预算输入!$C$33</f>
        <v>240</v>
      </c>
      <c r="D30" s="15">
        <f>预算输入!C48*预算输入!$C$20*预算输入!$C$33</f>
        <v>24</v>
      </c>
      <c r="E30" s="15">
        <f>预算输入!D48*预算输入!$C$20*预算输入!$C$33</f>
        <v>100</v>
      </c>
      <c r="F30" s="16">
        <f>预算输入!$C$9*预算输入!$C$10*(1+预算输入!$C$11)</f>
        <v>75000</v>
      </c>
      <c r="G30" s="16">
        <f>预算输入!$C$9*预算输入!$C$12*预算输入!$C$13</f>
        <v>17500</v>
      </c>
      <c r="H30" s="16">
        <f>用量测算!$B$17</f>
        <v>936</v>
      </c>
      <c r="I30" s="16">
        <f>(预算输入!B41+预算输入!C41)*预算输入!D41+预算输入!E41*预算输入!$C$21</f>
        <v>1990</v>
      </c>
      <c r="J30" s="16">
        <f>预算输入!$C$22</f>
        <v>3000</v>
      </c>
      <c r="K30" s="16">
        <f>IF(MOD(A30,3)=0,预算输入!$C$24/4,0)</f>
        <v>0</v>
      </c>
      <c r="L30" s="16">
        <f>IF(OR(A30=8,A30=11),预算输入!$C$25/2,IF(OR(A30=16,A30=22),预算输入!$C$25,0))</f>
        <v>0</v>
      </c>
      <c r="M30" s="16">
        <f>C30*用量测算!$B$14+D30*用量测算!$B$15+E30*用量测算!$B$16</f>
        <v>5044.271616</v>
      </c>
      <c r="N30" s="16">
        <f>IF(A30=1,预算输入!$C$23*0.6,IF(A30=7,预算输入!$C$23*0.4,0))</f>
        <v>0</v>
      </c>
      <c r="O30" s="16">
        <f>SUM(F30:N30)-R30+IF(A30=1,SUM(预算输入!$C$29:$C$31),0)</f>
        <v>103470.271616</v>
      </c>
      <c r="P30" s="16">
        <f>SUM($O$8:O30)</f>
        <v>2510304.5784960012</v>
      </c>
      <c r="Q30" s="16">
        <f t="shared" si="1"/>
        <v>103470.271616</v>
      </c>
      <c r="R30" s="16">
        <f t="shared" si="3"/>
        <v>0</v>
      </c>
      <c r="S30" s="16">
        <f t="shared" si="4"/>
        <v>0</v>
      </c>
      <c r="T30" s="16">
        <f t="shared" si="2"/>
        <v>5980.271616</v>
      </c>
    </row>
    <row r="31" spans="1:20" ht="30" customHeight="1">
      <c r="A31" s="13">
        <f>24</f>
        <v>24</v>
      </c>
      <c r="B31" s="14">
        <f t="shared" si="0"/>
        <v>47027</v>
      </c>
      <c r="C31" s="15">
        <f>预算输入!B48*预算输入!$C$20*预算输入!$C$33</f>
        <v>240</v>
      </c>
      <c r="D31" s="15">
        <f>预算输入!C48*预算输入!$C$20*预算输入!$C$33</f>
        <v>24</v>
      </c>
      <c r="E31" s="15">
        <f>预算输入!D48*预算输入!$C$20*预算输入!$C$33</f>
        <v>100</v>
      </c>
      <c r="F31" s="16">
        <f>预算输入!$C$9*预算输入!$C$10*(1+预算输入!$C$11)</f>
        <v>75000</v>
      </c>
      <c r="G31" s="16">
        <f>预算输入!$C$9*预算输入!$C$12*预算输入!$C$13</f>
        <v>17500</v>
      </c>
      <c r="H31" s="16">
        <f>用量测算!$B$17</f>
        <v>936</v>
      </c>
      <c r="I31" s="16">
        <f>(预算输入!B41+预算输入!C41)*预算输入!D41+预算输入!E41*预算输入!$C$21</f>
        <v>1990</v>
      </c>
      <c r="J31" s="16">
        <f>预算输入!$C$22</f>
        <v>3000</v>
      </c>
      <c r="K31" s="16">
        <f>IF(MOD(A31,3)=0,预算输入!$C$24/4,0)</f>
        <v>15000</v>
      </c>
      <c r="L31" s="16">
        <f>IF(OR(A31=8,A31=11),预算输入!$C$25/2,IF(OR(A31=16,A31=22),预算输入!$C$25,0))</f>
        <v>0</v>
      </c>
      <c r="M31" s="16">
        <f>C31*用量测算!$B$14+D31*用量测算!$B$15+E31*用量测算!$B$16</f>
        <v>5044.271616</v>
      </c>
      <c r="N31" s="16">
        <f>IF(A31=1,预算输入!$C$23*0.6,IF(A31=7,预算输入!$C$23*0.4,0))</f>
        <v>0</v>
      </c>
      <c r="O31" s="16">
        <f>SUM(F31:N31)-R31+IF(A31=1,SUM(预算输入!$C$29:$C$31),0)</f>
        <v>118470.271616</v>
      </c>
      <c r="P31" s="16">
        <f>SUM($O$8:O31)</f>
        <v>2628774.8501120014</v>
      </c>
      <c r="Q31" s="16">
        <f t="shared" si="1"/>
        <v>103470.271616</v>
      </c>
      <c r="R31" s="16">
        <f t="shared" si="3"/>
        <v>0</v>
      </c>
      <c r="S31" s="16">
        <f t="shared" si="4"/>
        <v>0</v>
      </c>
      <c r="T31" s="16">
        <f t="shared" si="2"/>
        <v>5980.271616</v>
      </c>
    </row>
    <row r="32" spans="1:20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3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3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mergeCells count="2">
    <mergeCell ref="A1:T1"/>
    <mergeCell ref="A3:T3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66C"/>
  </sheetPr>
  <dimension ref="A1:E25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3" customWidth="1"/>
    <col min="2" max="2" width="22" customWidth="1"/>
    <col min="3" max="3" width="23" customWidth="1"/>
    <col min="4" max="4" width="49" customWidth="1"/>
    <col min="5" max="5" width="32" customWidth="1"/>
  </cols>
  <sheetData>
    <row r="1" spans="1:5" ht="42" customHeight="1">
      <c r="A1" s="25" t="s">
        <v>140</v>
      </c>
      <c r="B1" s="25"/>
      <c r="C1" s="25"/>
      <c r="D1" s="25"/>
      <c r="E1" s="25"/>
    </row>
    <row r="2" spans="1:5" ht="30" customHeight="1">
      <c r="A2" s="1"/>
      <c r="B2" s="1"/>
      <c r="C2" s="1"/>
      <c r="D2" s="1"/>
      <c r="E2" s="1"/>
    </row>
    <row r="3" spans="1:5" ht="30" customHeight="1">
      <c r="A3" s="1"/>
      <c r="B3" s="1"/>
      <c r="C3" s="1"/>
      <c r="D3" s="1"/>
      <c r="E3" s="1"/>
    </row>
    <row r="4" spans="1:5" ht="30" customHeight="1">
      <c r="A4" s="3" t="s">
        <v>141</v>
      </c>
      <c r="B4" s="3" t="s">
        <v>142</v>
      </c>
      <c r="C4" s="3" t="s">
        <v>36</v>
      </c>
      <c r="D4" s="3" t="s">
        <v>143</v>
      </c>
      <c r="E4" s="1"/>
    </row>
    <row r="5" spans="1:5" ht="30" customHeight="1">
      <c r="A5" s="1" t="s">
        <v>144</v>
      </c>
      <c r="B5" s="4">
        <v>76845</v>
      </c>
      <c r="C5" s="1" t="s">
        <v>145</v>
      </c>
      <c r="D5" s="1" t="s">
        <v>146</v>
      </c>
      <c r="E5" s="1"/>
    </row>
    <row r="6" spans="1:5" ht="30" customHeight="1">
      <c r="A6" s="1" t="s">
        <v>147</v>
      </c>
      <c r="B6" s="4">
        <v>5738</v>
      </c>
      <c r="C6" s="1" t="s">
        <v>145</v>
      </c>
      <c r="D6" s="1" t="s">
        <v>148</v>
      </c>
      <c r="E6" s="1"/>
    </row>
    <row r="7" spans="1:5" ht="30" customHeight="1">
      <c r="A7" s="1" t="s">
        <v>149</v>
      </c>
      <c r="B7" s="4">
        <v>10</v>
      </c>
      <c r="C7" s="1" t="s">
        <v>150</v>
      </c>
      <c r="D7" s="1" t="s">
        <v>151</v>
      </c>
      <c r="E7" s="1"/>
    </row>
    <row r="8" spans="1:5" ht="30" customHeight="1">
      <c r="A8" s="1" t="s">
        <v>152</v>
      </c>
      <c r="B8" s="4">
        <v>30</v>
      </c>
      <c r="C8" s="1" t="s">
        <v>153</v>
      </c>
      <c r="D8" s="1" t="s">
        <v>154</v>
      </c>
      <c r="E8" s="1"/>
    </row>
    <row r="9" spans="1:5" ht="30" customHeight="1">
      <c r="A9" s="1" t="s">
        <v>155</v>
      </c>
      <c r="B9" s="10">
        <v>9</v>
      </c>
      <c r="C9" s="1" t="s">
        <v>156</v>
      </c>
      <c r="D9" s="1" t="s">
        <v>157</v>
      </c>
      <c r="E9" s="1"/>
    </row>
    <row r="10" spans="1:5" ht="30" customHeight="1">
      <c r="A10" s="1" t="s">
        <v>158</v>
      </c>
      <c r="B10" s="10">
        <v>27</v>
      </c>
      <c r="C10" s="1" t="s">
        <v>156</v>
      </c>
      <c r="D10" s="1" t="s">
        <v>157</v>
      </c>
      <c r="E10" s="1"/>
    </row>
    <row r="11" spans="1:5" ht="30" customHeight="1">
      <c r="A11" s="1" t="s">
        <v>159</v>
      </c>
      <c r="B11" s="11">
        <f>(B5*B9+B6*B10)/1000000/B7</f>
        <v>8.4653100000000009E-2</v>
      </c>
      <c r="C11" s="1" t="s">
        <v>160</v>
      </c>
      <c r="D11" s="1" t="s">
        <v>161</v>
      </c>
      <c r="E11" s="1"/>
    </row>
    <row r="12" spans="1:5" ht="30" customHeight="1">
      <c r="A12" s="1" t="s">
        <v>162</v>
      </c>
      <c r="B12" s="10">
        <v>40</v>
      </c>
      <c r="C12" s="1" t="s">
        <v>54</v>
      </c>
      <c r="D12" s="1" t="s">
        <v>163</v>
      </c>
      <c r="E12" s="1"/>
    </row>
    <row r="13" spans="1:5" ht="30" customHeight="1">
      <c r="A13" s="1" t="s">
        <v>164</v>
      </c>
      <c r="B13" s="10">
        <v>240</v>
      </c>
      <c r="C13" s="1" t="s">
        <v>54</v>
      </c>
      <c r="D13" s="1" t="s">
        <v>163</v>
      </c>
      <c r="E13" s="1"/>
    </row>
    <row r="14" spans="1:5" ht="30" customHeight="1">
      <c r="A14" s="1" t="s">
        <v>165</v>
      </c>
      <c r="B14" s="11">
        <f>B11*B12</f>
        <v>3.3861240000000006</v>
      </c>
      <c r="C14" s="1" t="s">
        <v>42</v>
      </c>
      <c r="D14" s="1" t="s">
        <v>166</v>
      </c>
      <c r="E14" s="1"/>
    </row>
    <row r="15" spans="1:5" ht="30" customHeight="1">
      <c r="A15" s="1" t="s">
        <v>167</v>
      </c>
      <c r="B15" s="11">
        <f>B11*B13</f>
        <v>20.316744000000003</v>
      </c>
      <c r="C15" s="1" t="s">
        <v>42</v>
      </c>
      <c r="D15" s="1" t="s">
        <v>166</v>
      </c>
      <c r="E15" s="1"/>
    </row>
    <row r="16" spans="1:5" ht="30" customHeight="1">
      <c r="A16" s="1" t="s">
        <v>168</v>
      </c>
      <c r="B16" s="12">
        <f>预算输入!C18*预算输入!C19*(预算输入!C16*B9+预算输入!C17*B10)/1000000</f>
        <v>37.44</v>
      </c>
      <c r="C16" s="1" t="s">
        <v>42</v>
      </c>
      <c r="D16" s="1" t="s">
        <v>169</v>
      </c>
      <c r="E16" s="1"/>
    </row>
    <row r="17" spans="1:5" ht="30" customHeight="1">
      <c r="A17" s="1" t="s">
        <v>170</v>
      </c>
      <c r="B17" s="12">
        <f>预算输入!C9*预算输入!C14*预算输入!C15*(预算输入!C16*B9+预算输入!C17*B10)/1000000</f>
        <v>936</v>
      </c>
      <c r="C17" s="1" t="s">
        <v>74</v>
      </c>
      <c r="D17" s="1" t="s">
        <v>171</v>
      </c>
      <c r="E17" s="1"/>
    </row>
    <row r="18" spans="1:5" ht="30" customHeight="1">
      <c r="A18" s="1"/>
      <c r="B18" s="1"/>
      <c r="C18" s="1"/>
      <c r="D18" s="1"/>
      <c r="E18" s="1"/>
    </row>
    <row r="19" spans="1:5" ht="30" customHeight="1">
      <c r="A19" s="1"/>
      <c r="B19" s="1"/>
      <c r="C19" s="1"/>
      <c r="D19" s="1"/>
      <c r="E19" s="1"/>
    </row>
    <row r="20" spans="1:5" ht="30" customHeight="1">
      <c r="A20" s="26" t="s">
        <v>172</v>
      </c>
      <c r="B20" s="26"/>
      <c r="C20" s="26"/>
      <c r="D20" s="26"/>
      <c r="E20" s="26"/>
    </row>
    <row r="21" spans="1:5" ht="30" customHeight="1">
      <c r="A21" s="26"/>
      <c r="B21" s="26"/>
      <c r="C21" s="26"/>
      <c r="D21" s="26"/>
      <c r="E21" s="26"/>
    </row>
    <row r="22" spans="1:5" ht="30" customHeight="1">
      <c r="A22" s="26"/>
      <c r="B22" s="26"/>
      <c r="C22" s="26"/>
      <c r="D22" s="26"/>
      <c r="E22" s="26"/>
    </row>
    <row r="23" spans="1:5" ht="30" customHeight="1">
      <c r="A23" s="26"/>
      <c r="B23" s="26"/>
      <c r="C23" s="26"/>
      <c r="D23" s="26"/>
      <c r="E23" s="26"/>
    </row>
    <row r="24" spans="1:5" ht="30" customHeight="1">
      <c r="A24" s="1"/>
      <c r="B24" s="1"/>
      <c r="C24" s="1"/>
      <c r="D24" s="1"/>
      <c r="E24" s="1"/>
    </row>
    <row r="25" spans="1:5" ht="30" customHeight="1">
      <c r="A25" s="1"/>
      <c r="B25" s="1"/>
      <c r="C25" s="1"/>
      <c r="D25" s="1"/>
      <c r="E25" s="1"/>
    </row>
  </sheetData>
  <mergeCells count="2">
    <mergeCell ref="A1:E1"/>
    <mergeCell ref="A20:E2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66C"/>
  </sheetPr>
  <dimension ref="A1:H24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22" customWidth="1"/>
    <col min="2" max="3" width="16" customWidth="1"/>
    <col min="4" max="4" width="17" customWidth="1"/>
    <col min="5" max="5" width="18" customWidth="1"/>
    <col min="6" max="6" width="20" customWidth="1"/>
    <col min="7" max="8" width="18" customWidth="1"/>
  </cols>
  <sheetData>
    <row r="1" spans="1:8" ht="42" customHeight="1">
      <c r="A1" s="25" t="s">
        <v>173</v>
      </c>
      <c r="B1" s="25"/>
      <c r="C1" s="25"/>
      <c r="D1" s="25"/>
      <c r="E1" s="25"/>
      <c r="F1" s="25"/>
      <c r="G1" s="25"/>
      <c r="H1" s="25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6" t="s">
        <v>174</v>
      </c>
      <c r="B3" s="26"/>
      <c r="C3" s="26"/>
      <c r="D3" s="26"/>
      <c r="E3" s="26"/>
      <c r="F3" s="26"/>
      <c r="G3" s="26"/>
      <c r="H3" s="26"/>
    </row>
    <row r="4" spans="1:8" ht="30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 t="s">
        <v>175</v>
      </c>
      <c r="B5" s="22">
        <v>0.02</v>
      </c>
      <c r="C5" s="1"/>
      <c r="D5" s="1"/>
      <c r="E5" s="1"/>
      <c r="F5" s="1"/>
      <c r="G5" s="1"/>
      <c r="H5" s="1"/>
    </row>
    <row r="6" spans="1:8" ht="30" customHeight="1">
      <c r="A6" s="1" t="s">
        <v>176</v>
      </c>
      <c r="B6" s="8">
        <v>1</v>
      </c>
      <c r="C6" s="1"/>
      <c r="D6" s="1"/>
      <c r="E6" s="1"/>
      <c r="F6" s="1"/>
      <c r="G6" s="1"/>
      <c r="H6" s="1"/>
    </row>
    <row r="7" spans="1:8" ht="30" customHeight="1">
      <c r="A7" s="1" t="s">
        <v>177</v>
      </c>
      <c r="B7" s="8">
        <v>0.1</v>
      </c>
      <c r="C7" s="1"/>
      <c r="D7" s="1"/>
      <c r="E7" s="1"/>
      <c r="F7" s="1"/>
      <c r="G7" s="1"/>
      <c r="H7" s="1"/>
    </row>
    <row r="8" spans="1:8" ht="30" customHeight="1">
      <c r="A8" s="1" t="s">
        <v>178</v>
      </c>
      <c r="B8" s="8">
        <v>0.5</v>
      </c>
      <c r="C8" s="1"/>
      <c r="D8" s="1"/>
      <c r="E8" s="1"/>
      <c r="F8" s="1"/>
      <c r="G8" s="1"/>
      <c r="H8" s="1"/>
    </row>
    <row r="9" spans="1:8" ht="30" customHeight="1">
      <c r="A9" s="1"/>
      <c r="B9" s="1"/>
      <c r="C9" s="1"/>
      <c r="D9" s="1"/>
      <c r="E9" s="1"/>
      <c r="F9" s="1"/>
      <c r="G9" s="1"/>
      <c r="H9" s="1"/>
    </row>
    <row r="10" spans="1:8" ht="30" customHeight="1">
      <c r="A10" s="3" t="s">
        <v>179</v>
      </c>
      <c r="B10" s="3" t="s">
        <v>180</v>
      </c>
      <c r="C10" s="3" t="s">
        <v>181</v>
      </c>
      <c r="D10" s="3" t="s">
        <v>182</v>
      </c>
      <c r="E10" s="3" t="s">
        <v>183</v>
      </c>
      <c r="F10" s="3" t="s">
        <v>184</v>
      </c>
      <c r="G10" s="3" t="s">
        <v>185</v>
      </c>
      <c r="H10" s="3" t="s">
        <v>186</v>
      </c>
    </row>
    <row r="11" spans="1:8" ht="30" customHeight="1">
      <c r="A11" s="1" t="s">
        <v>187</v>
      </c>
      <c r="B11" s="5">
        <v>99</v>
      </c>
      <c r="C11" s="5">
        <v>2000</v>
      </c>
      <c r="D11" s="5">
        <f>C11*$B$5*$B$6</f>
        <v>40</v>
      </c>
      <c r="E11" s="5">
        <f>B11*$B$7</f>
        <v>9.9</v>
      </c>
      <c r="F11" s="5">
        <f>B11-D11-E11</f>
        <v>49.1</v>
      </c>
      <c r="G11" s="7">
        <f>F11/B11</f>
        <v>0.49595959595959599</v>
      </c>
      <c r="H11" s="23">
        <f>(B11*(1-$B$7-$B$8))/(C11*$B$6)</f>
        <v>1.9800000000000002E-2</v>
      </c>
    </row>
    <row r="12" spans="1:8" ht="30" customHeight="1">
      <c r="A12" s="1" t="s">
        <v>188</v>
      </c>
      <c r="B12" s="5">
        <v>199</v>
      </c>
      <c r="C12" s="5">
        <v>4500</v>
      </c>
      <c r="D12" s="5">
        <f>C12*$B$5*$B$6</f>
        <v>90</v>
      </c>
      <c r="E12" s="5">
        <f>B12*$B$7</f>
        <v>19.900000000000002</v>
      </c>
      <c r="F12" s="5">
        <f>B12-D12-E12</f>
        <v>89.1</v>
      </c>
      <c r="G12" s="7">
        <f>F12/B12</f>
        <v>0.44773869346733663</v>
      </c>
      <c r="H12" s="23">
        <f>(B12*(1-$B$7-$B$8))/(C12*$B$6)</f>
        <v>1.7688888888888889E-2</v>
      </c>
    </row>
    <row r="13" spans="1:8" ht="30" customHeight="1">
      <c r="A13" s="1" t="s">
        <v>189</v>
      </c>
      <c r="B13" s="5">
        <v>999</v>
      </c>
      <c r="C13" s="5">
        <v>25000</v>
      </c>
      <c r="D13" s="5">
        <f>C13*$B$5*$B$6</f>
        <v>500</v>
      </c>
      <c r="E13" s="5">
        <f>B13*$B$7</f>
        <v>99.9</v>
      </c>
      <c r="F13" s="5">
        <f>B13-D13-E13</f>
        <v>399.1</v>
      </c>
      <c r="G13" s="7">
        <f>F13/B13</f>
        <v>0.39949949949949953</v>
      </c>
      <c r="H13" s="23">
        <f>(B13*(1-$B$7-$B$8))/(C13*$B$6)</f>
        <v>1.5984000000000002E-2</v>
      </c>
    </row>
    <row r="14" spans="1:8" ht="30" customHeight="1">
      <c r="A14" s="1" t="s">
        <v>190</v>
      </c>
      <c r="B14" s="5">
        <v>50</v>
      </c>
      <c r="C14" s="5">
        <v>1000</v>
      </c>
      <c r="D14" s="5">
        <f>C14*$B$5*$B$6</f>
        <v>20</v>
      </c>
      <c r="E14" s="5">
        <f>B14*$B$7</f>
        <v>5</v>
      </c>
      <c r="F14" s="5">
        <f>B14-D14-E14</f>
        <v>25</v>
      </c>
      <c r="G14" s="7">
        <f>F14/B14</f>
        <v>0.5</v>
      </c>
      <c r="H14" s="23">
        <f>(B14*(1-$B$7-$B$8))/(C14*$B$6)</f>
        <v>0.02</v>
      </c>
    </row>
    <row r="15" spans="1:8" ht="30" customHeight="1">
      <c r="A15" s="1"/>
      <c r="B15" s="1"/>
      <c r="C15" s="1"/>
      <c r="D15" s="1"/>
      <c r="E15" s="1"/>
      <c r="F15" s="1"/>
      <c r="G15" s="1"/>
      <c r="H15" s="1"/>
    </row>
    <row r="16" spans="1:8" ht="30" customHeight="1">
      <c r="A16" s="1"/>
      <c r="B16" s="1"/>
      <c r="C16" s="1"/>
      <c r="D16" s="1"/>
      <c r="E16" s="1"/>
      <c r="F16" s="1"/>
      <c r="G16" s="1"/>
      <c r="H16" s="1"/>
    </row>
    <row r="17" spans="1:8" ht="30" customHeight="1">
      <c r="A17" s="26" t="s">
        <v>191</v>
      </c>
      <c r="B17" s="26"/>
      <c r="C17" s="26"/>
      <c r="D17" s="26"/>
      <c r="E17" s="26"/>
      <c r="F17" s="26"/>
      <c r="G17" s="26"/>
      <c r="H17" s="26"/>
    </row>
    <row r="18" spans="1:8" ht="30" customHeight="1">
      <c r="A18" s="26"/>
      <c r="B18" s="26"/>
      <c r="C18" s="26"/>
      <c r="D18" s="26"/>
      <c r="E18" s="26"/>
      <c r="F18" s="26"/>
      <c r="G18" s="26"/>
      <c r="H18" s="26"/>
    </row>
    <row r="19" spans="1:8" ht="30" customHeight="1">
      <c r="A19" s="26"/>
      <c r="B19" s="26"/>
      <c r="C19" s="26"/>
      <c r="D19" s="26"/>
      <c r="E19" s="26"/>
      <c r="F19" s="26"/>
      <c r="G19" s="26"/>
      <c r="H19" s="26"/>
    </row>
    <row r="20" spans="1:8" ht="30" customHeight="1">
      <c r="A20" s="26"/>
      <c r="B20" s="26"/>
      <c r="C20" s="26"/>
      <c r="D20" s="26"/>
      <c r="E20" s="26"/>
      <c r="F20" s="26"/>
      <c r="G20" s="26"/>
      <c r="H20" s="26"/>
    </row>
    <row r="21" spans="1:8" ht="30" customHeight="1">
      <c r="A21" s="1"/>
      <c r="B21" s="1"/>
      <c r="C21" s="1"/>
      <c r="D21" s="1"/>
      <c r="E21" s="1"/>
      <c r="F21" s="1"/>
      <c r="G21" s="1"/>
      <c r="H21" s="1"/>
    </row>
    <row r="22" spans="1:8" ht="30" customHeight="1">
      <c r="A22" s="1"/>
      <c r="B22" s="1"/>
      <c r="C22" s="1"/>
      <c r="D22" s="1"/>
      <c r="E22" s="1"/>
      <c r="F22" s="1"/>
      <c r="G22" s="1"/>
      <c r="H22" s="1"/>
    </row>
    <row r="23" spans="1:8" ht="30" customHeight="1">
      <c r="A23" s="1"/>
      <c r="B23" s="1"/>
      <c r="C23" s="1"/>
      <c r="D23" s="1"/>
      <c r="E23" s="1"/>
      <c r="F23" s="1"/>
      <c r="G23" s="1"/>
      <c r="H23" s="1"/>
    </row>
    <row r="24" spans="1:8" ht="30" customHeight="1">
      <c r="A24" s="1"/>
      <c r="B24" s="1"/>
      <c r="C24" s="1"/>
      <c r="D24" s="1"/>
      <c r="E24" s="1"/>
      <c r="F24" s="1"/>
      <c r="G24" s="1"/>
      <c r="H24" s="1"/>
    </row>
  </sheetData>
  <mergeCells count="3">
    <mergeCell ref="A1:H1"/>
    <mergeCell ref="A3:H3"/>
    <mergeCell ref="A17:H20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66C"/>
  </sheetPr>
  <dimension ref="A1:F18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9" customWidth="1"/>
    <col min="2" max="2" width="23" customWidth="1"/>
    <col min="3" max="3" width="57" customWidth="1"/>
    <col min="4" max="4" width="82" customWidth="1"/>
    <col min="5" max="5" width="16" customWidth="1"/>
    <col min="6" max="6" width="39" customWidth="1"/>
  </cols>
  <sheetData>
    <row r="1" spans="1:6" ht="42" customHeight="1">
      <c r="A1" s="25" t="s">
        <v>192</v>
      </c>
      <c r="B1" s="25"/>
      <c r="C1" s="25"/>
      <c r="D1" s="25"/>
      <c r="E1" s="25"/>
      <c r="F1" s="25"/>
    </row>
    <row r="2" spans="1:6" ht="30" customHeight="1">
      <c r="A2" s="1"/>
      <c r="B2" s="1"/>
      <c r="C2" s="1"/>
      <c r="D2" s="1"/>
      <c r="E2" s="1"/>
      <c r="F2" s="1"/>
    </row>
    <row r="3" spans="1:6" ht="30" customHeight="1">
      <c r="A3" s="1"/>
      <c r="B3" s="1"/>
      <c r="C3" s="1"/>
      <c r="D3" s="1"/>
      <c r="E3" s="1"/>
      <c r="F3" s="1"/>
    </row>
    <row r="4" spans="1:6" ht="30" customHeight="1">
      <c r="A4" s="3" t="s">
        <v>193</v>
      </c>
      <c r="B4" s="3" t="s">
        <v>194</v>
      </c>
      <c r="C4" s="3" t="s">
        <v>195</v>
      </c>
      <c r="D4" s="3" t="s">
        <v>196</v>
      </c>
      <c r="E4" s="3" t="s">
        <v>197</v>
      </c>
      <c r="F4" s="3" t="s">
        <v>198</v>
      </c>
    </row>
    <row r="5" spans="1:6" ht="63" customHeight="1">
      <c r="A5" s="1" t="s">
        <v>199</v>
      </c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</row>
    <row r="6" spans="1:6" ht="63" customHeight="1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203</v>
      </c>
      <c r="F6" s="1" t="s">
        <v>209</v>
      </c>
    </row>
    <row r="7" spans="1:6" ht="63" customHeight="1">
      <c r="A7" s="1" t="s">
        <v>210</v>
      </c>
      <c r="B7" s="1" t="s">
        <v>211</v>
      </c>
      <c r="C7" s="1" t="s">
        <v>212</v>
      </c>
      <c r="D7" s="1" t="s">
        <v>213</v>
      </c>
      <c r="E7" s="1" t="s">
        <v>203</v>
      </c>
      <c r="F7" s="1" t="s">
        <v>204</v>
      </c>
    </row>
    <row r="8" spans="1:6" ht="63" customHeight="1">
      <c r="A8" s="1" t="s">
        <v>214</v>
      </c>
      <c r="B8" s="1" t="s">
        <v>215</v>
      </c>
      <c r="C8" s="1" t="s">
        <v>216</v>
      </c>
      <c r="D8" s="1" t="s">
        <v>213</v>
      </c>
      <c r="E8" s="1" t="s">
        <v>203</v>
      </c>
      <c r="F8" s="1" t="s">
        <v>217</v>
      </c>
    </row>
    <row r="9" spans="1:6" ht="63" customHeight="1">
      <c r="A9" s="1" t="s">
        <v>218</v>
      </c>
      <c r="B9" s="1" t="s">
        <v>219</v>
      </c>
      <c r="C9" s="1" t="s">
        <v>220</v>
      </c>
      <c r="D9" s="1" t="s">
        <v>221</v>
      </c>
      <c r="E9" s="1" t="s">
        <v>203</v>
      </c>
      <c r="F9" s="1" t="s">
        <v>222</v>
      </c>
    </row>
    <row r="10" spans="1:6" ht="63" customHeight="1">
      <c r="A10" s="1" t="s">
        <v>223</v>
      </c>
      <c r="B10" s="1" t="s">
        <v>224</v>
      </c>
      <c r="C10" s="1" t="s">
        <v>225</v>
      </c>
      <c r="D10" s="1" t="s">
        <v>226</v>
      </c>
      <c r="E10" s="1" t="s">
        <v>203</v>
      </c>
      <c r="F10" s="1" t="s">
        <v>227</v>
      </c>
    </row>
    <row r="11" spans="1:6" ht="63" customHeight="1">
      <c r="A11" s="1" t="s">
        <v>228</v>
      </c>
      <c r="B11" s="1" t="s">
        <v>229</v>
      </c>
      <c r="C11" s="1" t="s">
        <v>230</v>
      </c>
      <c r="D11" s="1" t="s">
        <v>231</v>
      </c>
      <c r="E11" s="1" t="s">
        <v>203</v>
      </c>
      <c r="F11" s="1" t="s">
        <v>232</v>
      </c>
    </row>
    <row r="12" spans="1:6" ht="63" customHeight="1">
      <c r="A12" s="1" t="s">
        <v>233</v>
      </c>
      <c r="B12" s="1" t="s">
        <v>234</v>
      </c>
      <c r="C12" s="1" t="s">
        <v>235</v>
      </c>
      <c r="D12" s="1" t="s">
        <v>236</v>
      </c>
      <c r="E12" s="1" t="s">
        <v>203</v>
      </c>
      <c r="F12" s="1" t="s">
        <v>237</v>
      </c>
    </row>
    <row r="13" spans="1:6" ht="30" customHeight="1">
      <c r="A13" s="1"/>
      <c r="B13" s="1"/>
      <c r="C13" s="1"/>
      <c r="D13" s="1"/>
      <c r="E13" s="1"/>
      <c r="F13" s="1"/>
    </row>
    <row r="14" spans="1:6" ht="30" customHeight="1">
      <c r="A14" s="26" t="s">
        <v>238</v>
      </c>
      <c r="B14" s="26"/>
      <c r="C14" s="26"/>
      <c r="D14" s="26"/>
      <c r="E14" s="26"/>
      <c r="F14" s="26"/>
    </row>
    <row r="15" spans="1:6" ht="30" customHeight="1">
      <c r="A15" s="26"/>
      <c r="B15" s="26"/>
      <c r="C15" s="26"/>
      <c r="D15" s="26"/>
      <c r="E15" s="26"/>
      <c r="F15" s="26"/>
    </row>
    <row r="16" spans="1:6" ht="30" customHeight="1">
      <c r="A16" s="26"/>
      <c r="B16" s="26"/>
      <c r="C16" s="26"/>
      <c r="D16" s="26"/>
      <c r="E16" s="26"/>
      <c r="F16" s="26"/>
    </row>
    <row r="17" spans="1:6" ht="30" customHeight="1">
      <c r="A17" s="26"/>
      <c r="B17" s="26"/>
      <c r="C17" s="26"/>
      <c r="D17" s="26"/>
      <c r="E17" s="26"/>
      <c r="F17" s="26"/>
    </row>
    <row r="18" spans="1:6" ht="30" customHeight="1">
      <c r="A18" s="1"/>
      <c r="B18" s="1"/>
      <c r="C18" s="1"/>
      <c r="D18" s="1"/>
      <c r="E18" s="1"/>
      <c r="F18" s="1"/>
    </row>
  </sheetData>
  <mergeCells count="2">
    <mergeCell ref="A1:F1"/>
    <mergeCell ref="A14:F17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资金总览</vt:lpstr>
      <vt:lpstr>预算输入</vt:lpstr>
      <vt:lpstr>月度预算</vt:lpstr>
      <vt:lpstr>用量测算</vt:lpstr>
      <vt:lpstr>定价与利润</vt:lpstr>
      <vt:lpstr>来源与口径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Blocky Studio</cp:lastModifiedBy>
  <dcterms:modified xsi:type="dcterms:W3CDTF">2026-10-09T17:22:30Z</dcterms:modified>
</cp:coreProperties>
</file>