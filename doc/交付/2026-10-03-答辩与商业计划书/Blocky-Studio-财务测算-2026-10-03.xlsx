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6AD31EE3-D55E-4FDF-8A47-2B36BA0004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1" r:id="rId1"/>
    <sheet name="Assumptions" sheetId="2" r:id="rId2"/>
    <sheet name="Usage" sheetId="3" r:id="rId3"/>
    <sheet name="Cohorts" sheetId="4" r:id="rId4"/>
    <sheet name="Costs" sheetId="5" r:id="rId5"/>
    <sheet name="Revenue" sheetId="6" r:id="rId6"/>
    <sheet name="Income Statement" sheetId="7" r:id="rId7"/>
    <sheet name="Balance Sheet" sheetId="8" r:id="rId8"/>
    <sheet name="Cash Flow" sheetId="9" r:id="rId9"/>
    <sheet name="Financing" sheetId="10" r:id="rId10"/>
    <sheet name="Checks" sheetId="11" r:id="rId11"/>
    <sheet name="Sources" sheetId="12" r:id="rId12"/>
  </sheets>
  <definedNames>
    <definedName name="_xlnm.Print_Area" localSheetId="1">Assumptions!$A$1:$G$70</definedName>
    <definedName name="_xlnm.Print_Area" localSheetId="7">'Balance Sheet'!$A$1:$Z$47</definedName>
    <definedName name="_xlnm.Print_Area" localSheetId="8">'Cash Flow'!$A$1:$Z$91</definedName>
    <definedName name="_xlnm.Print_Area" localSheetId="10">Checks!$A$1:$D$8</definedName>
    <definedName name="_xlnm.Print_Area" localSheetId="3">Cohorts!$A$1:$Z$38</definedName>
    <definedName name="_xlnm.Print_Area" localSheetId="4">Costs!$A$1:$Z$68</definedName>
    <definedName name="_xlnm.Print_Area" localSheetId="9">Financing!$A$1:$D$26</definedName>
    <definedName name="_xlnm.Print_Area" localSheetId="6">'Income Statement'!$A$1:$Z$45</definedName>
    <definedName name="_xlnm.Print_Area" localSheetId="5">Revenue!$A$1:$Z$30</definedName>
    <definedName name="_xlnm.Print_Area" localSheetId="11">Sources!$A$1:$F$17</definedName>
    <definedName name="_xlnm.Print_Area" localSheetId="0">Summary!$A$1:$D$28</definedName>
    <definedName name="_xlnm.Print_Area" localSheetId="2">Usage!$A$1:$D$37</definedName>
    <definedName name="_xlnm.Print_Titles" localSheetId="1">Assumptions!$A:$A</definedName>
    <definedName name="_xlnm.Print_Titles" localSheetId="7">'Balance Sheet'!$A:$A</definedName>
    <definedName name="_xlnm.Print_Titles" localSheetId="8">'Cash Flow'!$A:$A</definedName>
    <definedName name="_xlnm.Print_Titles" localSheetId="10">Checks!$A:$A</definedName>
    <definedName name="_xlnm.Print_Titles" localSheetId="3">Cohorts!$A:$A</definedName>
    <definedName name="_xlnm.Print_Titles" localSheetId="4">Costs!$A:$A</definedName>
    <definedName name="_xlnm.Print_Titles" localSheetId="9">Financing!$A:$A</definedName>
    <definedName name="_xlnm.Print_Titles" localSheetId="6">'Income Statement'!$A:$A</definedName>
    <definedName name="_xlnm.Print_Titles" localSheetId="5">Revenue!$A:$A</definedName>
    <definedName name="_xlnm.Print_Titles" localSheetId="11">Sources!$A:$A</definedName>
    <definedName name="_xlnm.Print_Titles" localSheetId="0">Summary!$A:$A</definedName>
    <definedName name="_xlnm.Print_Titles" localSheetId="2">Usage!$A:$A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" i="9" l="1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B74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B69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B52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B41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B36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B19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B8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Z7" i="9" s="1"/>
  <c r="B3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Y65" i="5"/>
  <c r="Y44" i="7" s="1"/>
  <c r="X65" i="5"/>
  <c r="X44" i="7" s="1"/>
  <c r="W65" i="5"/>
  <c r="W44" i="7" s="1"/>
  <c r="V65" i="5"/>
  <c r="V44" i="7" s="1"/>
  <c r="U65" i="5"/>
  <c r="U44" i="7" s="1"/>
  <c r="T65" i="5"/>
  <c r="T44" i="7" s="1"/>
  <c r="S65" i="5"/>
  <c r="S44" i="7" s="1"/>
  <c r="R65" i="5"/>
  <c r="R44" i="7" s="1"/>
  <c r="Q65" i="5"/>
  <c r="Q44" i="7" s="1"/>
  <c r="P65" i="5"/>
  <c r="P44" i="7" s="1"/>
  <c r="O65" i="5"/>
  <c r="O44" i="7" s="1"/>
  <c r="N65" i="5"/>
  <c r="M65" i="5"/>
  <c r="M44" i="7" s="1"/>
  <c r="L65" i="5"/>
  <c r="L44" i="7" s="1"/>
  <c r="K65" i="5"/>
  <c r="K44" i="7" s="1"/>
  <c r="J65" i="5"/>
  <c r="J44" i="7" s="1"/>
  <c r="I65" i="5"/>
  <c r="I44" i="7" s="1"/>
  <c r="H65" i="5"/>
  <c r="H44" i="7" s="1"/>
  <c r="G65" i="5"/>
  <c r="G44" i="7" s="1"/>
  <c r="F65" i="5"/>
  <c r="F44" i="7" s="1"/>
  <c r="E65" i="5"/>
  <c r="E44" i="7" s="1"/>
  <c r="D65" i="5"/>
  <c r="D44" i="7" s="1"/>
  <c r="C65" i="5"/>
  <c r="C44" i="7" s="1"/>
  <c r="B65" i="5"/>
  <c r="Y64" i="5"/>
  <c r="Y80" i="9" s="1"/>
  <c r="X64" i="5"/>
  <c r="X80" i="9" s="1"/>
  <c r="W64" i="5"/>
  <c r="W80" i="9" s="1"/>
  <c r="V64" i="5"/>
  <c r="V80" i="9" s="1"/>
  <c r="U64" i="5"/>
  <c r="U80" i="9" s="1"/>
  <c r="T64" i="5"/>
  <c r="T80" i="9" s="1"/>
  <c r="S64" i="5"/>
  <c r="S80" i="9" s="1"/>
  <c r="R64" i="5"/>
  <c r="R80" i="9" s="1"/>
  <c r="Q64" i="5"/>
  <c r="Q80" i="9" s="1"/>
  <c r="P64" i="5"/>
  <c r="P80" i="9" s="1"/>
  <c r="O64" i="5"/>
  <c r="O80" i="9" s="1"/>
  <c r="N64" i="5"/>
  <c r="N80" i="9" s="1"/>
  <c r="M64" i="5"/>
  <c r="M80" i="9" s="1"/>
  <c r="L64" i="5"/>
  <c r="L80" i="9" s="1"/>
  <c r="K64" i="5"/>
  <c r="K80" i="9" s="1"/>
  <c r="J64" i="5"/>
  <c r="J80" i="9" s="1"/>
  <c r="I64" i="5"/>
  <c r="I80" i="9" s="1"/>
  <c r="H64" i="5"/>
  <c r="H80" i="9" s="1"/>
  <c r="G64" i="5"/>
  <c r="G80" i="9" s="1"/>
  <c r="F64" i="5"/>
  <c r="F80" i="9" s="1"/>
  <c r="E64" i="5"/>
  <c r="E80" i="9" s="1"/>
  <c r="D64" i="5"/>
  <c r="D80" i="9" s="1"/>
  <c r="C64" i="5"/>
  <c r="B64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Z58" i="5" s="1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Z57" i="5" s="1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Y40" i="5"/>
  <c r="Y26" i="7" s="1"/>
  <c r="X40" i="5"/>
  <c r="X26" i="7" s="1"/>
  <c r="W40" i="5"/>
  <c r="W26" i="7" s="1"/>
  <c r="V40" i="5"/>
  <c r="V26" i="7" s="1"/>
  <c r="U40" i="5"/>
  <c r="U26" i="7" s="1"/>
  <c r="T40" i="5"/>
  <c r="T26" i="7" s="1"/>
  <c r="S40" i="5"/>
  <c r="S26" i="7" s="1"/>
  <c r="R40" i="5"/>
  <c r="R26" i="7" s="1"/>
  <c r="Q40" i="5"/>
  <c r="Q26" i="7" s="1"/>
  <c r="P40" i="5"/>
  <c r="P26" i="7" s="1"/>
  <c r="O40" i="5"/>
  <c r="O26" i="7" s="1"/>
  <c r="N40" i="5"/>
  <c r="N26" i="7" s="1"/>
  <c r="M40" i="5"/>
  <c r="M26" i="7" s="1"/>
  <c r="L40" i="5"/>
  <c r="L26" i="7" s="1"/>
  <c r="K40" i="5"/>
  <c r="K26" i="7" s="1"/>
  <c r="J40" i="5"/>
  <c r="J26" i="7" s="1"/>
  <c r="I40" i="5"/>
  <c r="I26" i="7" s="1"/>
  <c r="H40" i="5"/>
  <c r="H26" i="7" s="1"/>
  <c r="G40" i="5"/>
  <c r="G26" i="7" s="1"/>
  <c r="F40" i="5"/>
  <c r="F26" i="7" s="1"/>
  <c r="E40" i="5"/>
  <c r="E26" i="7" s="1"/>
  <c r="D40" i="5"/>
  <c r="D26" i="7" s="1"/>
  <c r="C40" i="5"/>
  <c r="C26" i="7" s="1"/>
  <c r="B40" i="5"/>
  <c r="Y39" i="5"/>
  <c r="Y47" i="9" s="1"/>
  <c r="X39" i="5"/>
  <c r="X47" i="9" s="1"/>
  <c r="W39" i="5"/>
  <c r="W47" i="9" s="1"/>
  <c r="V39" i="5"/>
  <c r="V47" i="9" s="1"/>
  <c r="U39" i="5"/>
  <c r="U47" i="9" s="1"/>
  <c r="T39" i="5"/>
  <c r="T47" i="9" s="1"/>
  <c r="S39" i="5"/>
  <c r="S47" i="9" s="1"/>
  <c r="R39" i="5"/>
  <c r="R47" i="9" s="1"/>
  <c r="Q39" i="5"/>
  <c r="Q47" i="9" s="1"/>
  <c r="P39" i="5"/>
  <c r="P47" i="9" s="1"/>
  <c r="O39" i="5"/>
  <c r="O47" i="9" s="1"/>
  <c r="N39" i="5"/>
  <c r="N47" i="9" s="1"/>
  <c r="M39" i="5"/>
  <c r="M47" i="9" s="1"/>
  <c r="L39" i="5"/>
  <c r="L47" i="9" s="1"/>
  <c r="K39" i="5"/>
  <c r="K47" i="9" s="1"/>
  <c r="J39" i="5"/>
  <c r="J47" i="9" s="1"/>
  <c r="I39" i="5"/>
  <c r="I47" i="9" s="1"/>
  <c r="H39" i="5"/>
  <c r="H47" i="9" s="1"/>
  <c r="G39" i="5"/>
  <c r="G47" i="9" s="1"/>
  <c r="F39" i="5"/>
  <c r="F47" i="9" s="1"/>
  <c r="E39" i="5"/>
  <c r="E47" i="9" s="1"/>
  <c r="D39" i="5"/>
  <c r="D47" i="9" s="1"/>
  <c r="C39" i="5"/>
  <c r="C47" i="9" s="1"/>
  <c r="B39" i="5"/>
  <c r="C10" i="1" s="1"/>
  <c r="C13" i="10" s="1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Z35" i="5" s="1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Z33" i="5" s="1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Z31" i="5" s="1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Y15" i="5"/>
  <c r="Y8" i="7" s="1"/>
  <c r="X15" i="5"/>
  <c r="X8" i="7" s="1"/>
  <c r="W15" i="5"/>
  <c r="W8" i="7" s="1"/>
  <c r="V15" i="5"/>
  <c r="V8" i="7" s="1"/>
  <c r="U15" i="5"/>
  <c r="U8" i="7" s="1"/>
  <c r="T15" i="5"/>
  <c r="T8" i="7" s="1"/>
  <c r="S15" i="5"/>
  <c r="S8" i="7" s="1"/>
  <c r="R15" i="5"/>
  <c r="R8" i="7" s="1"/>
  <c r="Q15" i="5"/>
  <c r="Q8" i="7" s="1"/>
  <c r="P15" i="5"/>
  <c r="P8" i="7" s="1"/>
  <c r="O15" i="5"/>
  <c r="O8" i="7" s="1"/>
  <c r="N15" i="5"/>
  <c r="N8" i="7" s="1"/>
  <c r="M15" i="5"/>
  <c r="M8" i="7" s="1"/>
  <c r="L15" i="5"/>
  <c r="L8" i="7" s="1"/>
  <c r="K15" i="5"/>
  <c r="K8" i="7" s="1"/>
  <c r="J15" i="5"/>
  <c r="J8" i="7" s="1"/>
  <c r="I15" i="5"/>
  <c r="I8" i="7" s="1"/>
  <c r="H15" i="5"/>
  <c r="H8" i="7" s="1"/>
  <c r="G15" i="5"/>
  <c r="G8" i="7" s="1"/>
  <c r="F15" i="5"/>
  <c r="F8" i="7" s="1"/>
  <c r="E15" i="5"/>
  <c r="E8" i="7" s="1"/>
  <c r="D15" i="5"/>
  <c r="D8" i="7" s="1"/>
  <c r="C15" i="5"/>
  <c r="C8" i="7" s="1"/>
  <c r="B15" i="5"/>
  <c r="Y14" i="5"/>
  <c r="Y14" i="9" s="1"/>
  <c r="X14" i="5"/>
  <c r="X14" i="9" s="1"/>
  <c r="W14" i="5"/>
  <c r="W14" i="9" s="1"/>
  <c r="V14" i="5"/>
  <c r="V14" i="9" s="1"/>
  <c r="U14" i="5"/>
  <c r="U14" i="9" s="1"/>
  <c r="T14" i="5"/>
  <c r="T14" i="9" s="1"/>
  <c r="S14" i="5"/>
  <c r="S14" i="9" s="1"/>
  <c r="R14" i="5"/>
  <c r="R14" i="9" s="1"/>
  <c r="Q14" i="5"/>
  <c r="Q14" i="9" s="1"/>
  <c r="P14" i="5"/>
  <c r="P14" i="9" s="1"/>
  <c r="O14" i="5"/>
  <c r="O14" i="9" s="1"/>
  <c r="N14" i="5"/>
  <c r="N14" i="9" s="1"/>
  <c r="M14" i="5"/>
  <c r="M14" i="9" s="1"/>
  <c r="L14" i="5"/>
  <c r="L14" i="9" s="1"/>
  <c r="K14" i="5"/>
  <c r="K14" i="9" s="1"/>
  <c r="J14" i="5"/>
  <c r="J14" i="9" s="1"/>
  <c r="I14" i="5"/>
  <c r="I14" i="9" s="1"/>
  <c r="H14" i="5"/>
  <c r="H14" i="9" s="1"/>
  <c r="G14" i="5"/>
  <c r="G14" i="9" s="1"/>
  <c r="F14" i="5"/>
  <c r="F14" i="9" s="1"/>
  <c r="E14" i="5"/>
  <c r="E14" i="9" s="1"/>
  <c r="D14" i="5"/>
  <c r="D14" i="9" s="1"/>
  <c r="C14" i="5"/>
  <c r="C14" i="9" s="1"/>
  <c r="B14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Z10" i="5" s="1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Z8" i="5" s="1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Z7" i="5" s="1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Z6" i="5" s="1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B28" i="3"/>
  <c r="B27" i="3"/>
  <c r="B26" i="3"/>
  <c r="B25" i="3"/>
  <c r="B24" i="3"/>
  <c r="B22" i="3"/>
  <c r="B21" i="3"/>
  <c r="B32" i="2"/>
  <c r="B31" i="2"/>
  <c r="D13" i="1"/>
  <c r="D5" i="10" s="1"/>
  <c r="C13" i="1"/>
  <c r="C5" i="10" s="1"/>
  <c r="B13" i="1"/>
  <c r="B5" i="10" s="1"/>
  <c r="Z79" i="9" l="1"/>
  <c r="Z59" i="5"/>
  <c r="Z56" i="5"/>
  <c r="Z34" i="5"/>
  <c r="Y87" i="9"/>
  <c r="X87" i="9"/>
  <c r="X42" i="8" s="1"/>
  <c r="W87" i="9"/>
  <c r="W42" i="8" s="1"/>
  <c r="V87" i="9"/>
  <c r="V42" i="8" s="1"/>
  <c r="U87" i="9"/>
  <c r="U42" i="8" s="1"/>
  <c r="T87" i="9"/>
  <c r="T42" i="8" s="1"/>
  <c r="S87" i="9"/>
  <c r="S42" i="8" s="1"/>
  <c r="R87" i="9"/>
  <c r="R42" i="8" s="1"/>
  <c r="Q87" i="9"/>
  <c r="Q42" i="8" s="1"/>
  <c r="P87" i="9"/>
  <c r="P42" i="8" s="1"/>
  <c r="O87" i="9"/>
  <c r="O42" i="8" s="1"/>
  <c r="N87" i="9"/>
  <c r="N42" i="8" s="1"/>
  <c r="M87" i="9"/>
  <c r="M42" i="8" s="1"/>
  <c r="L87" i="9"/>
  <c r="L42" i="8" s="1"/>
  <c r="K87" i="9"/>
  <c r="K42" i="8" s="1"/>
  <c r="J87" i="9"/>
  <c r="J42" i="8" s="1"/>
  <c r="I87" i="9"/>
  <c r="I42" i="8" s="1"/>
  <c r="H87" i="9"/>
  <c r="H42" i="8" s="1"/>
  <c r="G87" i="9"/>
  <c r="G42" i="8" s="1"/>
  <c r="F87" i="9"/>
  <c r="F42" i="8" s="1"/>
  <c r="E87" i="9"/>
  <c r="E42" i="8" s="1"/>
  <c r="D87" i="9"/>
  <c r="D42" i="8" s="1"/>
  <c r="C87" i="9"/>
  <c r="C42" i="8" s="1"/>
  <c r="B87" i="9"/>
  <c r="B42" i="8" s="1"/>
  <c r="C80" i="9"/>
  <c r="D10" i="1"/>
  <c r="D13" i="10" s="1"/>
  <c r="L37" i="4"/>
  <c r="E37" i="4"/>
  <c r="Z73" i="9"/>
  <c r="Z40" i="9"/>
  <c r="H37" i="4"/>
  <c r="G37" i="4"/>
  <c r="F37" i="4"/>
  <c r="J37" i="4"/>
  <c r="W23" i="4"/>
  <c r="K37" i="4"/>
  <c r="D37" i="4"/>
  <c r="X23" i="4"/>
  <c r="Z9" i="5"/>
  <c r="Z60" i="5"/>
  <c r="I37" i="4"/>
  <c r="Z32" i="5"/>
  <c r="C37" i="4"/>
  <c r="Y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Z46" i="9"/>
  <c r="U54" i="9"/>
  <c r="U24" i="8" s="1"/>
  <c r="O54" i="9"/>
  <c r="O24" i="8" s="1"/>
  <c r="M54" i="9"/>
  <c r="M24" i="8" s="1"/>
  <c r="X54" i="9"/>
  <c r="X24" i="8" s="1"/>
  <c r="T54" i="9"/>
  <c r="T24" i="8" s="1"/>
  <c r="I54" i="9"/>
  <c r="I24" i="8" s="1"/>
  <c r="R54" i="9"/>
  <c r="R24" i="8" s="1"/>
  <c r="F54" i="9"/>
  <c r="F24" i="8" s="1"/>
  <c r="D54" i="9"/>
  <c r="D24" i="8" s="1"/>
  <c r="B54" i="9"/>
  <c r="B24" i="8" s="1"/>
  <c r="E54" i="9"/>
  <c r="E24" i="8" s="1"/>
  <c r="H54" i="9"/>
  <c r="H24" i="8" s="1"/>
  <c r="Y54" i="9"/>
  <c r="V54" i="9"/>
  <c r="V24" i="8" s="1"/>
  <c r="Q54" i="9"/>
  <c r="Q24" i="8" s="1"/>
  <c r="N54" i="9"/>
  <c r="N24" i="8" s="1"/>
  <c r="K54" i="9"/>
  <c r="K24" i="8" s="1"/>
  <c r="W54" i="9"/>
  <c r="W24" i="8" s="1"/>
  <c r="S54" i="9"/>
  <c r="S24" i="8" s="1"/>
  <c r="P54" i="9"/>
  <c r="P24" i="8" s="1"/>
  <c r="L54" i="9"/>
  <c r="L24" i="8" s="1"/>
  <c r="J54" i="9"/>
  <c r="J24" i="8" s="1"/>
  <c r="G54" i="9"/>
  <c r="G24" i="8" s="1"/>
  <c r="C54" i="9"/>
  <c r="C24" i="8" s="1"/>
  <c r="B90" i="9"/>
  <c r="B43" i="8" s="1"/>
  <c r="M90" i="9"/>
  <c r="M43" i="8" s="1"/>
  <c r="K90" i="9"/>
  <c r="K43" i="8" s="1"/>
  <c r="J90" i="9"/>
  <c r="J43" i="8" s="1"/>
  <c r="I90" i="9"/>
  <c r="I43" i="8" s="1"/>
  <c r="H90" i="9"/>
  <c r="H43" i="8" s="1"/>
  <c r="G90" i="9"/>
  <c r="G43" i="8" s="1"/>
  <c r="F90" i="9"/>
  <c r="F43" i="8" s="1"/>
  <c r="E90" i="9"/>
  <c r="E43" i="8" s="1"/>
  <c r="D90" i="9"/>
  <c r="D43" i="8" s="1"/>
  <c r="C90" i="9"/>
  <c r="C43" i="8" s="1"/>
  <c r="L90" i="9"/>
  <c r="L43" i="8" s="1"/>
  <c r="Y43" i="7"/>
  <c r="Y78" i="9"/>
  <c r="X43" i="7"/>
  <c r="X78" i="9"/>
  <c r="W78" i="9"/>
  <c r="W43" i="7"/>
  <c r="V78" i="9"/>
  <c r="V43" i="7"/>
  <c r="U78" i="9"/>
  <c r="U43" i="7"/>
  <c r="T78" i="9"/>
  <c r="T43" i="7"/>
  <c r="S78" i="9"/>
  <c r="S43" i="7"/>
  <c r="R43" i="7"/>
  <c r="R78" i="9"/>
  <c r="Q78" i="9"/>
  <c r="Q43" i="7"/>
  <c r="P78" i="9"/>
  <c r="P43" i="7"/>
  <c r="O78" i="9"/>
  <c r="O43" i="7"/>
  <c r="N78" i="9"/>
  <c r="N43" i="7"/>
  <c r="M78" i="9"/>
  <c r="M43" i="7"/>
  <c r="L78" i="9"/>
  <c r="L43" i="7"/>
  <c r="K43" i="7"/>
  <c r="K78" i="9"/>
  <c r="J78" i="9"/>
  <c r="J43" i="7"/>
  <c r="I43" i="7"/>
  <c r="I78" i="9"/>
  <c r="H78" i="9"/>
  <c r="H43" i="7"/>
  <c r="G78" i="9"/>
  <c r="G43" i="7"/>
  <c r="F43" i="7"/>
  <c r="F78" i="9"/>
  <c r="E43" i="7"/>
  <c r="E78" i="9"/>
  <c r="D43" i="7"/>
  <c r="D78" i="9"/>
  <c r="C43" i="7"/>
  <c r="C78" i="9"/>
  <c r="Z62" i="5"/>
  <c r="B43" i="7"/>
  <c r="Z43" i="7" s="1"/>
  <c r="B78" i="9"/>
  <c r="W54" i="5"/>
  <c r="W55" i="5"/>
  <c r="V54" i="5"/>
  <c r="V55" i="5"/>
  <c r="U55" i="5"/>
  <c r="U54" i="5"/>
  <c r="T54" i="5"/>
  <c r="T55" i="5"/>
  <c r="S55" i="5"/>
  <c r="S54" i="5"/>
  <c r="R54" i="5"/>
  <c r="R55" i="5"/>
  <c r="Q54" i="5"/>
  <c r="Q55" i="5"/>
  <c r="P54" i="5"/>
  <c r="P55" i="5"/>
  <c r="O55" i="5"/>
  <c r="O54" i="5"/>
  <c r="N54" i="5"/>
  <c r="N55" i="5"/>
  <c r="M55" i="5"/>
  <c r="M54" i="5"/>
  <c r="L55" i="5"/>
  <c r="L54" i="5"/>
  <c r="K54" i="5"/>
  <c r="K55" i="5"/>
  <c r="J54" i="5"/>
  <c r="J55" i="5"/>
  <c r="I55" i="5"/>
  <c r="I54" i="5"/>
  <c r="H55" i="5"/>
  <c r="H54" i="5"/>
  <c r="G54" i="5"/>
  <c r="G55" i="5"/>
  <c r="F54" i="5"/>
  <c r="F55" i="5"/>
  <c r="E54" i="5"/>
  <c r="E55" i="5"/>
  <c r="D55" i="5"/>
  <c r="D54" i="5"/>
  <c r="C55" i="5"/>
  <c r="C54" i="5"/>
  <c r="B54" i="5"/>
  <c r="B55" i="5"/>
  <c r="Y42" i="8"/>
  <c r="Z42" i="8" s="1"/>
  <c r="Z87" i="9"/>
  <c r="K21" i="9"/>
  <c r="K6" i="8" s="1"/>
  <c r="J21" i="9"/>
  <c r="J6" i="8" s="1"/>
  <c r="H21" i="9"/>
  <c r="H6" i="8" s="1"/>
  <c r="G21" i="9"/>
  <c r="G6" i="8" s="1"/>
  <c r="F21" i="9"/>
  <c r="F6" i="8" s="1"/>
  <c r="E21" i="9"/>
  <c r="E6" i="8" s="1"/>
  <c r="D21" i="9"/>
  <c r="D6" i="8" s="1"/>
  <c r="C21" i="9"/>
  <c r="C6" i="8" s="1"/>
  <c r="B21" i="9"/>
  <c r="B6" i="8" s="1"/>
  <c r="Z13" i="9"/>
  <c r="I21" i="9"/>
  <c r="I6" i="8" s="1"/>
  <c r="Y21" i="9"/>
  <c r="X21" i="9"/>
  <c r="X6" i="8" s="1"/>
  <c r="W21" i="9"/>
  <c r="W6" i="8" s="1"/>
  <c r="V21" i="9"/>
  <c r="V6" i="8" s="1"/>
  <c r="U21" i="9"/>
  <c r="U6" i="8" s="1"/>
  <c r="T21" i="9"/>
  <c r="T6" i="8" s="1"/>
  <c r="S21" i="9"/>
  <c r="S6" i="8" s="1"/>
  <c r="R21" i="9"/>
  <c r="R6" i="8" s="1"/>
  <c r="Q21" i="9"/>
  <c r="Q6" i="8" s="1"/>
  <c r="P21" i="9"/>
  <c r="P6" i="8" s="1"/>
  <c r="O21" i="9"/>
  <c r="O6" i="8" s="1"/>
  <c r="N21" i="9"/>
  <c r="N6" i="8" s="1"/>
  <c r="M21" i="9"/>
  <c r="M6" i="8" s="1"/>
  <c r="L21" i="9"/>
  <c r="L6" i="8" s="1"/>
  <c r="N90" i="9"/>
  <c r="N43" i="8" s="1"/>
  <c r="S90" i="9"/>
  <c r="S43" i="8" s="1"/>
  <c r="W90" i="9"/>
  <c r="W43" i="8" s="1"/>
  <c r="Y90" i="9"/>
  <c r="V90" i="9"/>
  <c r="V43" i="8" s="1"/>
  <c r="U90" i="9"/>
  <c r="U43" i="8" s="1"/>
  <c r="T90" i="9"/>
  <c r="T43" i="8" s="1"/>
  <c r="N44" i="7"/>
  <c r="R90" i="9"/>
  <c r="R43" i="8" s="1"/>
  <c r="X90" i="9"/>
  <c r="X43" i="8" s="1"/>
  <c r="P90" i="9"/>
  <c r="P43" i="8" s="1"/>
  <c r="O90" i="9"/>
  <c r="O43" i="8" s="1"/>
  <c r="Q90" i="9"/>
  <c r="Q43" i="8" s="1"/>
  <c r="B44" i="7"/>
  <c r="Z65" i="5"/>
  <c r="B80" i="9"/>
  <c r="Z80" i="9" s="1"/>
  <c r="Z64" i="5"/>
  <c r="Y55" i="5"/>
  <c r="Y54" i="5"/>
  <c r="X54" i="5"/>
  <c r="Z53" i="5"/>
  <c r="X55" i="5"/>
  <c r="B26" i="7"/>
  <c r="Z26" i="7" s="1"/>
  <c r="Z40" i="5"/>
  <c r="T57" i="9"/>
  <c r="T25" i="8" s="1"/>
  <c r="S57" i="9"/>
  <c r="S25" i="8" s="1"/>
  <c r="R57" i="9"/>
  <c r="R25" i="8" s="1"/>
  <c r="Q57" i="9"/>
  <c r="Q25" i="8" s="1"/>
  <c r="P57" i="9"/>
  <c r="P25" i="8" s="1"/>
  <c r="O57" i="9"/>
  <c r="O25" i="8" s="1"/>
  <c r="N57" i="9"/>
  <c r="N25" i="8" s="1"/>
  <c r="M57" i="9"/>
  <c r="M25" i="8" s="1"/>
  <c r="K57" i="9"/>
  <c r="K25" i="8" s="1"/>
  <c r="J57" i="9"/>
  <c r="J25" i="8" s="1"/>
  <c r="I57" i="9"/>
  <c r="I25" i="8" s="1"/>
  <c r="H57" i="9"/>
  <c r="H25" i="8" s="1"/>
  <c r="G57" i="9"/>
  <c r="G25" i="8" s="1"/>
  <c r="F57" i="9"/>
  <c r="F25" i="8" s="1"/>
  <c r="E57" i="9"/>
  <c r="E25" i="8" s="1"/>
  <c r="D57" i="9"/>
  <c r="D25" i="8" s="1"/>
  <c r="C57" i="9"/>
  <c r="C25" i="8" s="1"/>
  <c r="B57" i="9"/>
  <c r="B25" i="8" s="1"/>
  <c r="L57" i="9"/>
  <c r="L25" i="8" s="1"/>
  <c r="X57" i="9"/>
  <c r="X25" i="8" s="1"/>
  <c r="B47" i="9"/>
  <c r="Z47" i="9" s="1"/>
  <c r="W57" i="9"/>
  <c r="W25" i="8" s="1"/>
  <c r="Z39" i="5"/>
  <c r="Y57" i="9"/>
  <c r="V57" i="9"/>
  <c r="V25" i="8" s="1"/>
  <c r="U57" i="9"/>
  <c r="U25" i="8" s="1"/>
  <c r="Y45" i="9"/>
  <c r="Y25" i="7"/>
  <c r="X45" i="9"/>
  <c r="X25" i="7"/>
  <c r="W25" i="7"/>
  <c r="W45" i="9"/>
  <c r="V45" i="9"/>
  <c r="V25" i="7"/>
  <c r="U45" i="9"/>
  <c r="U25" i="7"/>
  <c r="T45" i="9"/>
  <c r="T25" i="7"/>
  <c r="S45" i="9"/>
  <c r="S25" i="7"/>
  <c r="R45" i="9"/>
  <c r="R25" i="7"/>
  <c r="Q45" i="9"/>
  <c r="Q25" i="7"/>
  <c r="P45" i="9"/>
  <c r="P25" i="7"/>
  <c r="O45" i="9"/>
  <c r="O25" i="7"/>
  <c r="N45" i="9"/>
  <c r="N25" i="7"/>
  <c r="M25" i="7"/>
  <c r="M45" i="9"/>
  <c r="L45" i="9"/>
  <c r="L25" i="7"/>
  <c r="K25" i="7"/>
  <c r="K45" i="9"/>
  <c r="J25" i="7"/>
  <c r="J45" i="9"/>
  <c r="I25" i="7"/>
  <c r="I45" i="9"/>
  <c r="H45" i="9"/>
  <c r="H25" i="7"/>
  <c r="G25" i="7"/>
  <c r="G45" i="9"/>
  <c r="F25" i="7"/>
  <c r="F45" i="9"/>
  <c r="E25" i="7"/>
  <c r="E45" i="9"/>
  <c r="D45" i="9"/>
  <c r="D25" i="7"/>
  <c r="C45" i="9"/>
  <c r="C25" i="7"/>
  <c r="B45" i="9"/>
  <c r="B25" i="7"/>
  <c r="Z37" i="5"/>
  <c r="Y30" i="5"/>
  <c r="Y29" i="5"/>
  <c r="X30" i="5"/>
  <c r="X29" i="5"/>
  <c r="W30" i="5"/>
  <c r="W29" i="5"/>
  <c r="V30" i="5"/>
  <c r="V29" i="5"/>
  <c r="U30" i="5"/>
  <c r="U29" i="5"/>
  <c r="T30" i="5"/>
  <c r="T29" i="5"/>
  <c r="S29" i="5"/>
  <c r="S30" i="5"/>
  <c r="R29" i="5"/>
  <c r="R30" i="5"/>
  <c r="Q29" i="5"/>
  <c r="Q30" i="5"/>
  <c r="P30" i="5"/>
  <c r="P29" i="5"/>
  <c r="O30" i="5"/>
  <c r="O29" i="5"/>
  <c r="N30" i="5"/>
  <c r="N29" i="5"/>
  <c r="M30" i="5"/>
  <c r="M29" i="5"/>
  <c r="L30" i="5"/>
  <c r="L29" i="5"/>
  <c r="K29" i="5"/>
  <c r="K30" i="5"/>
  <c r="J29" i="5"/>
  <c r="J30" i="5"/>
  <c r="I30" i="5"/>
  <c r="I29" i="5"/>
  <c r="H29" i="5"/>
  <c r="H30" i="5"/>
  <c r="G29" i="5"/>
  <c r="G30" i="5"/>
  <c r="F30" i="5"/>
  <c r="F29" i="5"/>
  <c r="E30" i="5"/>
  <c r="E29" i="5"/>
  <c r="D29" i="5"/>
  <c r="D30" i="5"/>
  <c r="C30" i="5"/>
  <c r="C29" i="5"/>
  <c r="B30" i="5"/>
  <c r="B29" i="5"/>
  <c r="Z28" i="5"/>
  <c r="B8" i="7"/>
  <c r="Z8" i="7" s="1"/>
  <c r="Z15" i="5"/>
  <c r="C24" i="9"/>
  <c r="C7" i="8" s="1"/>
  <c r="D24" i="9"/>
  <c r="D7" i="8" s="1"/>
  <c r="B24" i="9"/>
  <c r="B7" i="8" s="1"/>
  <c r="Y24" i="9"/>
  <c r="X24" i="9"/>
  <c r="X7" i="8" s="1"/>
  <c r="Z14" i="5"/>
  <c r="W24" i="9"/>
  <c r="W7" i="8" s="1"/>
  <c r="V24" i="9"/>
  <c r="V7" i="8" s="1"/>
  <c r="U24" i="9"/>
  <c r="U7" i="8" s="1"/>
  <c r="T24" i="9"/>
  <c r="T7" i="8" s="1"/>
  <c r="S24" i="9"/>
  <c r="S7" i="8" s="1"/>
  <c r="R24" i="9"/>
  <c r="R7" i="8" s="1"/>
  <c r="Q24" i="9"/>
  <c r="Q7" i="8" s="1"/>
  <c r="P24" i="9"/>
  <c r="P7" i="8" s="1"/>
  <c r="O24" i="9"/>
  <c r="O7" i="8" s="1"/>
  <c r="M24" i="9"/>
  <c r="M7" i="8" s="1"/>
  <c r="L24" i="9"/>
  <c r="L7" i="8" s="1"/>
  <c r="K24" i="9"/>
  <c r="K7" i="8" s="1"/>
  <c r="J24" i="9"/>
  <c r="J7" i="8" s="1"/>
  <c r="N24" i="9"/>
  <c r="N7" i="8" s="1"/>
  <c r="I24" i="9"/>
  <c r="I7" i="8" s="1"/>
  <c r="H24" i="9"/>
  <c r="H7" i="8" s="1"/>
  <c r="G24" i="9"/>
  <c r="G7" i="8" s="1"/>
  <c r="B14" i="9"/>
  <c r="Z14" i="9" s="1"/>
  <c r="E24" i="9"/>
  <c r="E7" i="8" s="1"/>
  <c r="F24" i="9"/>
  <c r="F7" i="8" s="1"/>
  <c r="B10" i="1"/>
  <c r="B13" i="10" s="1"/>
  <c r="Y7" i="7"/>
  <c r="Y12" i="9"/>
  <c r="X12" i="9"/>
  <c r="X7" i="7"/>
  <c r="W12" i="9"/>
  <c r="W7" i="7"/>
  <c r="V12" i="9"/>
  <c r="V7" i="7"/>
  <c r="U12" i="9"/>
  <c r="U7" i="7"/>
  <c r="T12" i="9"/>
  <c r="T7" i="7"/>
  <c r="S12" i="9"/>
  <c r="S7" i="7"/>
  <c r="R12" i="9"/>
  <c r="R7" i="7"/>
  <c r="Q12" i="9"/>
  <c r="Q7" i="7"/>
  <c r="P12" i="9"/>
  <c r="P7" i="7"/>
  <c r="O12" i="9"/>
  <c r="O7" i="7"/>
  <c r="N12" i="9"/>
  <c r="N7" i="7"/>
  <c r="M12" i="9"/>
  <c r="M7" i="7"/>
  <c r="L7" i="7"/>
  <c r="L12" i="9"/>
  <c r="K7" i="7"/>
  <c r="K12" i="9"/>
  <c r="J12" i="9"/>
  <c r="J7" i="7"/>
  <c r="I12" i="9"/>
  <c r="I7" i="7"/>
  <c r="H12" i="9"/>
  <c r="H7" i="7"/>
  <c r="G12" i="9"/>
  <c r="G7" i="7"/>
  <c r="F12" i="9"/>
  <c r="F7" i="7"/>
  <c r="E12" i="9"/>
  <c r="E7" i="7"/>
  <c r="D12" i="9"/>
  <c r="D7" i="7"/>
  <c r="C12" i="9"/>
  <c r="C7" i="7"/>
  <c r="B12" i="9"/>
  <c r="Z12" i="5"/>
  <c r="B7" i="7"/>
  <c r="Z7" i="7" s="1"/>
  <c r="Y5" i="5"/>
  <c r="Y4" i="5"/>
  <c r="X5" i="5"/>
  <c r="X4" i="5"/>
  <c r="W5" i="5"/>
  <c r="W4" i="5"/>
  <c r="V5" i="5"/>
  <c r="V4" i="5"/>
  <c r="U5" i="5"/>
  <c r="U4" i="5"/>
  <c r="T5" i="5"/>
  <c r="T4" i="5"/>
  <c r="S5" i="5"/>
  <c r="S4" i="5"/>
  <c r="R5" i="5"/>
  <c r="R4" i="5"/>
  <c r="Q4" i="5"/>
  <c r="Q5" i="5"/>
  <c r="P4" i="5"/>
  <c r="P5" i="5"/>
  <c r="O4" i="5"/>
  <c r="O5" i="5"/>
  <c r="N4" i="5"/>
  <c r="N5" i="5"/>
  <c r="M5" i="5"/>
  <c r="M4" i="5"/>
  <c r="L5" i="5"/>
  <c r="L4" i="5"/>
  <c r="K5" i="5"/>
  <c r="K4" i="5"/>
  <c r="J4" i="5"/>
  <c r="J5" i="5"/>
  <c r="I4" i="5"/>
  <c r="I5" i="5"/>
  <c r="H4" i="5"/>
  <c r="H5" i="5"/>
  <c r="G4" i="5"/>
  <c r="G5" i="5"/>
  <c r="F4" i="5"/>
  <c r="F5" i="5"/>
  <c r="E4" i="5"/>
  <c r="E5" i="5"/>
  <c r="D4" i="5"/>
  <c r="D5" i="5"/>
  <c r="C4" i="5"/>
  <c r="C5" i="5"/>
  <c r="B4" i="5"/>
  <c r="Z3" i="5"/>
  <c r="B5" i="5"/>
  <c r="Z33" i="4"/>
  <c r="B37" i="4"/>
  <c r="Z32" i="4"/>
  <c r="B36" i="4"/>
  <c r="Y34" i="4"/>
  <c r="Y35" i="4"/>
  <c r="X34" i="4"/>
  <c r="X35" i="4"/>
  <c r="W34" i="4"/>
  <c r="W35" i="4"/>
  <c r="V34" i="4"/>
  <c r="V35" i="4"/>
  <c r="U34" i="4"/>
  <c r="U35" i="4"/>
  <c r="T34" i="4"/>
  <c r="T35" i="4"/>
  <c r="S34" i="4"/>
  <c r="S35" i="4"/>
  <c r="R34" i="4"/>
  <c r="R35" i="4"/>
  <c r="Q34" i="4"/>
  <c r="Q35" i="4"/>
  <c r="P34" i="4"/>
  <c r="P35" i="4"/>
  <c r="O34" i="4"/>
  <c r="O35" i="4"/>
  <c r="N34" i="4"/>
  <c r="N35" i="4"/>
  <c r="M35" i="4"/>
  <c r="M34" i="4"/>
  <c r="L34" i="4"/>
  <c r="K34" i="4"/>
  <c r="J34" i="4"/>
  <c r="I34" i="4"/>
  <c r="H34" i="4"/>
  <c r="G34" i="4"/>
  <c r="F34" i="4"/>
  <c r="E34" i="4"/>
  <c r="D34" i="4"/>
  <c r="C34" i="4"/>
  <c r="Z31" i="4"/>
  <c r="B34" i="4"/>
  <c r="Z19" i="4"/>
  <c r="B23" i="4"/>
  <c r="Z18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Z17" i="4"/>
  <c r="B9" i="4"/>
  <c r="Z5" i="4"/>
  <c r="Z4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Z3" i="4"/>
  <c r="B19" i="3"/>
  <c r="B29" i="2" s="1"/>
  <c r="B20" i="3"/>
  <c r="B30" i="2" s="1"/>
  <c r="V37" i="4"/>
  <c r="R37" i="4"/>
  <c r="S37" i="4"/>
  <c r="Y37" i="4"/>
  <c r="X37" i="4"/>
  <c r="M37" i="4"/>
  <c r="N37" i="4"/>
  <c r="O37" i="4"/>
  <c r="T37" i="4"/>
  <c r="W37" i="4"/>
  <c r="U37" i="4"/>
  <c r="P37" i="4"/>
  <c r="Q37" i="4"/>
  <c r="Z25" i="7" l="1"/>
  <c r="Z37" i="4"/>
  <c r="Z23" i="4"/>
  <c r="Y24" i="8"/>
  <c r="Z24" i="8" s="1"/>
  <c r="Z54" i="9"/>
  <c r="D14" i="10"/>
  <c r="Z78" i="9"/>
  <c r="Z44" i="7"/>
  <c r="Z54" i="5"/>
  <c r="Z9" i="4"/>
  <c r="W67" i="5"/>
  <c r="W68" i="5"/>
  <c r="V68" i="5"/>
  <c r="V67" i="5"/>
  <c r="U68" i="5"/>
  <c r="U67" i="5"/>
  <c r="T67" i="5"/>
  <c r="T68" i="5"/>
  <c r="S67" i="5"/>
  <c r="S68" i="5"/>
  <c r="R67" i="5"/>
  <c r="R68" i="5"/>
  <c r="Q67" i="5"/>
  <c r="Q68" i="5"/>
  <c r="P68" i="5"/>
  <c r="P67" i="5"/>
  <c r="O67" i="5"/>
  <c r="O68" i="5"/>
  <c r="N67" i="5"/>
  <c r="N68" i="5"/>
  <c r="M67" i="5"/>
  <c r="M68" i="5"/>
  <c r="L67" i="5"/>
  <c r="L68" i="5"/>
  <c r="K68" i="5"/>
  <c r="K67" i="5"/>
  <c r="J68" i="5"/>
  <c r="J67" i="5"/>
  <c r="I67" i="5"/>
  <c r="I68" i="5"/>
  <c r="H67" i="5"/>
  <c r="H68" i="5"/>
  <c r="G67" i="5"/>
  <c r="G68" i="5"/>
  <c r="F67" i="5"/>
  <c r="F68" i="5"/>
  <c r="E67" i="5"/>
  <c r="E68" i="5"/>
  <c r="D67" i="5"/>
  <c r="D68" i="5"/>
  <c r="C68" i="5"/>
  <c r="C67" i="5"/>
  <c r="B67" i="5"/>
  <c r="B68" i="5"/>
  <c r="Z21" i="9"/>
  <c r="Y6" i="8"/>
  <c r="Z6" i="8" s="1"/>
  <c r="Y43" i="8"/>
  <c r="Z43" i="8" s="1"/>
  <c r="Z90" i="9"/>
  <c r="Y67" i="5"/>
  <c r="Y68" i="5"/>
  <c r="X67" i="5"/>
  <c r="X68" i="5"/>
  <c r="D8" i="1"/>
  <c r="D9" i="10" s="1"/>
  <c r="Z55" i="5"/>
  <c r="D7" i="1"/>
  <c r="Z57" i="9"/>
  <c r="Y25" i="8"/>
  <c r="Z25" i="8" s="1"/>
  <c r="Z45" i="9"/>
  <c r="C14" i="10"/>
  <c r="Y42" i="5"/>
  <c r="Y43" i="5"/>
  <c r="X42" i="5"/>
  <c r="X43" i="5"/>
  <c r="W42" i="5"/>
  <c r="W43" i="5"/>
  <c r="V42" i="5"/>
  <c r="V43" i="5"/>
  <c r="U42" i="5"/>
  <c r="U43" i="5"/>
  <c r="T42" i="5"/>
  <c r="T43" i="5"/>
  <c r="S42" i="5"/>
  <c r="S43" i="5"/>
  <c r="R42" i="5"/>
  <c r="R43" i="5"/>
  <c r="Q42" i="5"/>
  <c r="Q43" i="5"/>
  <c r="P42" i="5"/>
  <c r="P43" i="5"/>
  <c r="O42" i="5"/>
  <c r="O43" i="5"/>
  <c r="N42" i="5"/>
  <c r="N43" i="5"/>
  <c r="M42" i="5"/>
  <c r="M43" i="5"/>
  <c r="L42" i="5"/>
  <c r="L43" i="5"/>
  <c r="K42" i="5"/>
  <c r="K43" i="5"/>
  <c r="J42" i="5"/>
  <c r="J43" i="5"/>
  <c r="I42" i="5"/>
  <c r="I43" i="5"/>
  <c r="H42" i="5"/>
  <c r="H43" i="5"/>
  <c r="G42" i="5"/>
  <c r="G43" i="5"/>
  <c r="F42" i="5"/>
  <c r="F43" i="5"/>
  <c r="E42" i="5"/>
  <c r="E43" i="5"/>
  <c r="D42" i="5"/>
  <c r="D43" i="5"/>
  <c r="C42" i="5"/>
  <c r="C43" i="5"/>
  <c r="Z30" i="5"/>
  <c r="C7" i="1"/>
  <c r="Z29" i="5"/>
  <c r="B42" i="5"/>
  <c r="B43" i="5"/>
  <c r="C8" i="1"/>
  <c r="C9" i="10" s="1"/>
  <c r="Z24" i="9"/>
  <c r="Y7" i="8"/>
  <c r="Z7" i="8" s="1"/>
  <c r="Z12" i="9"/>
  <c r="B14" i="10"/>
  <c r="Y17" i="5"/>
  <c r="Y18" i="5"/>
  <c r="X17" i="5"/>
  <c r="X18" i="5"/>
  <c r="W17" i="5"/>
  <c r="W18" i="5"/>
  <c r="V17" i="5"/>
  <c r="V18" i="5"/>
  <c r="U17" i="5"/>
  <c r="U18" i="5"/>
  <c r="T17" i="5"/>
  <c r="T18" i="5"/>
  <c r="S17" i="5"/>
  <c r="S18" i="5"/>
  <c r="R17" i="5"/>
  <c r="R18" i="5"/>
  <c r="Q17" i="5"/>
  <c r="Q18" i="5"/>
  <c r="P17" i="5"/>
  <c r="P18" i="5"/>
  <c r="O17" i="5"/>
  <c r="O18" i="5"/>
  <c r="N17" i="5"/>
  <c r="N18" i="5"/>
  <c r="M17" i="5"/>
  <c r="M18" i="5"/>
  <c r="L17" i="5"/>
  <c r="L18" i="5"/>
  <c r="K17" i="5"/>
  <c r="K18" i="5"/>
  <c r="J17" i="5"/>
  <c r="J18" i="5"/>
  <c r="I17" i="5"/>
  <c r="I18" i="5"/>
  <c r="H17" i="5"/>
  <c r="H18" i="5"/>
  <c r="G17" i="5"/>
  <c r="G18" i="5"/>
  <c r="F17" i="5"/>
  <c r="F18" i="5"/>
  <c r="E17" i="5"/>
  <c r="E18" i="5"/>
  <c r="D17" i="5"/>
  <c r="D18" i="5"/>
  <c r="C17" i="5"/>
  <c r="C18" i="5"/>
  <c r="Z4" i="5"/>
  <c r="B17" i="5"/>
  <c r="B18" i="5"/>
  <c r="B8" i="1"/>
  <c r="B9" i="10" s="1"/>
  <c r="Z5" i="5"/>
  <c r="B7" i="1"/>
  <c r="Z34" i="4"/>
  <c r="D5" i="1"/>
  <c r="C5" i="1"/>
  <c r="Z20" i="4"/>
  <c r="Z6" i="4"/>
  <c r="B5" i="1"/>
  <c r="D8" i="4"/>
  <c r="F8" i="4"/>
  <c r="H8" i="4"/>
  <c r="J8" i="4"/>
  <c r="L8" i="4"/>
  <c r="N8" i="4"/>
  <c r="O8" i="4"/>
  <c r="Q8" i="4"/>
  <c r="S8" i="4"/>
  <c r="T8" i="4"/>
  <c r="Y8" i="4"/>
  <c r="C8" i="4"/>
  <c r="E8" i="4"/>
  <c r="G8" i="4"/>
  <c r="I8" i="4"/>
  <c r="K8" i="4"/>
  <c r="M8" i="4"/>
  <c r="P8" i="4"/>
  <c r="R8" i="4"/>
  <c r="U8" i="4"/>
  <c r="V8" i="4"/>
  <c r="W8" i="4"/>
  <c r="X8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C36" i="4"/>
  <c r="F36" i="4"/>
  <c r="I36" i="4"/>
  <c r="M36" i="4"/>
  <c r="M38" i="4" s="1"/>
  <c r="R36" i="4"/>
  <c r="R38" i="4" s="1"/>
  <c r="U36" i="4"/>
  <c r="U38" i="4" s="1"/>
  <c r="Y36" i="4"/>
  <c r="Y38" i="4" s="1"/>
  <c r="E36" i="4"/>
  <c r="H36" i="4"/>
  <c r="K36" i="4"/>
  <c r="Q36" i="4"/>
  <c r="Q38" i="4" s="1"/>
  <c r="T36" i="4"/>
  <c r="T38" i="4" s="1"/>
  <c r="W36" i="4"/>
  <c r="W38" i="4" s="1"/>
  <c r="G36" i="4"/>
  <c r="J36" i="4"/>
  <c r="O36" i="4"/>
  <c r="O38" i="4" s="1"/>
  <c r="S36" i="4"/>
  <c r="S38" i="4" s="1"/>
  <c r="X36" i="4"/>
  <c r="X38" i="4" s="1"/>
  <c r="D36" i="4"/>
  <c r="L36" i="4"/>
  <c r="N36" i="4"/>
  <c r="N38" i="4" s="1"/>
  <c r="P36" i="4"/>
  <c r="P38" i="4" s="1"/>
  <c r="V36" i="4"/>
  <c r="V38" i="4" s="1"/>
  <c r="L35" i="4"/>
  <c r="L38" i="4" s="1"/>
  <c r="K35" i="4"/>
  <c r="K38" i="4" s="1"/>
  <c r="J35" i="4"/>
  <c r="J38" i="4" s="1"/>
  <c r="I35" i="4"/>
  <c r="I38" i="4" s="1"/>
  <c r="H35" i="4"/>
  <c r="H38" i="4" s="1"/>
  <c r="G35" i="4"/>
  <c r="G38" i="4" s="1"/>
  <c r="F35" i="4"/>
  <c r="F38" i="4" s="1"/>
  <c r="E35" i="4"/>
  <c r="E38" i="4" s="1"/>
  <c r="D35" i="4"/>
  <c r="D38" i="4" s="1"/>
  <c r="C35" i="4"/>
  <c r="B35" i="4"/>
  <c r="B7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Q7" i="4"/>
  <c r="P7" i="4"/>
  <c r="O7" i="4"/>
  <c r="M7" i="4"/>
  <c r="K7" i="4"/>
  <c r="J7" i="4"/>
  <c r="F7" i="4"/>
  <c r="E7" i="4"/>
  <c r="D7" i="4"/>
  <c r="Y7" i="4"/>
  <c r="X7" i="4"/>
  <c r="X10" i="4" s="1"/>
  <c r="W7" i="4"/>
  <c r="W10" i="4" s="1"/>
  <c r="V7" i="4"/>
  <c r="V10" i="4" s="1"/>
  <c r="U7" i="4"/>
  <c r="U10" i="4" s="1"/>
  <c r="T7" i="4"/>
  <c r="S7" i="4"/>
  <c r="R7" i="4"/>
  <c r="N7" i="4"/>
  <c r="L7" i="4"/>
  <c r="I7" i="4"/>
  <c r="H7" i="4"/>
  <c r="G7" i="4"/>
  <c r="C7" i="4"/>
  <c r="B22" i="4"/>
  <c r="B8" i="4"/>
  <c r="C38" i="4" l="1"/>
  <c r="Y24" i="4"/>
  <c r="X24" i="4"/>
  <c r="V24" i="4"/>
  <c r="U24" i="4"/>
  <c r="T24" i="4"/>
  <c r="S24" i="4"/>
  <c r="M10" i="4"/>
  <c r="F10" i="4"/>
  <c r="Y10" i="4"/>
  <c r="S10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F36" i="5" s="1"/>
  <c r="E24" i="4"/>
  <c r="D24" i="4"/>
  <c r="C24" i="4"/>
  <c r="Q10" i="4"/>
  <c r="P10" i="4"/>
  <c r="O10" i="4"/>
  <c r="K10" i="4"/>
  <c r="J10" i="4"/>
  <c r="E10" i="4"/>
  <c r="T10" i="4"/>
  <c r="N10" i="4"/>
  <c r="L10" i="4"/>
  <c r="I10" i="4"/>
  <c r="I11" i="5" s="1"/>
  <c r="H10" i="4"/>
  <c r="G10" i="4"/>
  <c r="C10" i="4"/>
  <c r="Z8" i="4"/>
  <c r="Z68" i="5"/>
  <c r="D10" i="4"/>
  <c r="R10" i="4"/>
  <c r="W42" i="7"/>
  <c r="W71" i="9"/>
  <c r="V42" i="7"/>
  <c r="V71" i="9"/>
  <c r="U42" i="7"/>
  <c r="U71" i="9"/>
  <c r="T42" i="7"/>
  <c r="T71" i="9"/>
  <c r="S42" i="7"/>
  <c r="S71" i="9"/>
  <c r="R42" i="7"/>
  <c r="R71" i="9"/>
  <c r="Q42" i="7"/>
  <c r="Q71" i="9"/>
  <c r="P42" i="7"/>
  <c r="P71" i="9"/>
  <c r="O42" i="7"/>
  <c r="O71" i="9"/>
  <c r="N42" i="7"/>
  <c r="N71" i="9"/>
  <c r="M42" i="7"/>
  <c r="M71" i="9"/>
  <c r="L42" i="7"/>
  <c r="L71" i="9"/>
  <c r="K42" i="7"/>
  <c r="K71" i="9"/>
  <c r="J42" i="7"/>
  <c r="J71" i="9"/>
  <c r="I42" i="7"/>
  <c r="I71" i="9"/>
  <c r="H42" i="7"/>
  <c r="H71" i="9"/>
  <c r="G42" i="7"/>
  <c r="G71" i="9"/>
  <c r="F42" i="7"/>
  <c r="F71" i="9"/>
  <c r="E42" i="7"/>
  <c r="E71" i="9"/>
  <c r="D42" i="7"/>
  <c r="D71" i="9"/>
  <c r="C42" i="7"/>
  <c r="C71" i="9"/>
  <c r="B42" i="7"/>
  <c r="B71" i="9"/>
  <c r="Y42" i="7"/>
  <c r="Y71" i="9"/>
  <c r="X42" i="7"/>
  <c r="X71" i="9"/>
  <c r="D9" i="1"/>
  <c r="D12" i="10" s="1"/>
  <c r="D10" i="10"/>
  <c r="Y24" i="7"/>
  <c r="Y38" i="9"/>
  <c r="X24" i="7"/>
  <c r="X38" i="9"/>
  <c r="W24" i="7"/>
  <c r="W38" i="9"/>
  <c r="V24" i="7"/>
  <c r="V38" i="9"/>
  <c r="U24" i="7"/>
  <c r="U38" i="9"/>
  <c r="T24" i="7"/>
  <c r="T38" i="9"/>
  <c r="S24" i="7"/>
  <c r="S38" i="9"/>
  <c r="R24" i="7"/>
  <c r="R38" i="9"/>
  <c r="Q24" i="7"/>
  <c r="Q38" i="9"/>
  <c r="P24" i="7"/>
  <c r="P38" i="9"/>
  <c r="O24" i="7"/>
  <c r="O38" i="9"/>
  <c r="N24" i="7"/>
  <c r="N38" i="9"/>
  <c r="M24" i="7"/>
  <c r="M38" i="9"/>
  <c r="L24" i="7"/>
  <c r="L38" i="9"/>
  <c r="K24" i="7"/>
  <c r="K38" i="9"/>
  <c r="J24" i="7"/>
  <c r="J38" i="9"/>
  <c r="I24" i="7"/>
  <c r="I38" i="9"/>
  <c r="H24" i="7"/>
  <c r="H38" i="9"/>
  <c r="G24" i="7"/>
  <c r="G38" i="9"/>
  <c r="F24" i="7"/>
  <c r="F38" i="9"/>
  <c r="E24" i="7"/>
  <c r="E38" i="9"/>
  <c r="D24" i="7"/>
  <c r="D38" i="9"/>
  <c r="C24" i="7"/>
  <c r="C38" i="9"/>
  <c r="C9" i="1"/>
  <c r="C12" i="10" s="1"/>
  <c r="C10" i="10"/>
  <c r="Z42" i="5"/>
  <c r="B24" i="7"/>
  <c r="B38" i="9"/>
  <c r="C15" i="1"/>
  <c r="C21" i="10" s="1"/>
  <c r="Y6" i="7"/>
  <c r="Y5" i="9"/>
  <c r="X6" i="7"/>
  <c r="X5" i="9"/>
  <c r="W6" i="7"/>
  <c r="W5" i="9"/>
  <c r="V6" i="7"/>
  <c r="V5" i="9"/>
  <c r="U6" i="7"/>
  <c r="U5" i="9"/>
  <c r="T6" i="7"/>
  <c r="T5" i="9"/>
  <c r="S6" i="7"/>
  <c r="S5" i="9"/>
  <c r="R6" i="7"/>
  <c r="R5" i="9"/>
  <c r="Q6" i="7"/>
  <c r="Q5" i="9"/>
  <c r="P6" i="7"/>
  <c r="P5" i="9"/>
  <c r="O6" i="7"/>
  <c r="O5" i="9"/>
  <c r="N6" i="7"/>
  <c r="N5" i="9"/>
  <c r="M6" i="7"/>
  <c r="M5" i="9"/>
  <c r="L6" i="7"/>
  <c r="L5" i="9"/>
  <c r="K6" i="7"/>
  <c r="K5" i="9"/>
  <c r="J6" i="7"/>
  <c r="J5" i="9"/>
  <c r="I6" i="7"/>
  <c r="I5" i="9"/>
  <c r="H6" i="7"/>
  <c r="H5" i="9"/>
  <c r="G6" i="7"/>
  <c r="G5" i="9"/>
  <c r="F6" i="7"/>
  <c r="F5" i="9"/>
  <c r="E6" i="7"/>
  <c r="E5" i="9"/>
  <c r="D6" i="7"/>
  <c r="D5" i="9"/>
  <c r="C6" i="7"/>
  <c r="C5" i="9"/>
  <c r="Z17" i="5"/>
  <c r="B6" i="7"/>
  <c r="B5" i="9"/>
  <c r="B15" i="1"/>
  <c r="B21" i="10" s="1"/>
  <c r="B9" i="1"/>
  <c r="B12" i="10" s="1"/>
  <c r="B10" i="10"/>
  <c r="M27" i="6"/>
  <c r="M28" i="6" s="1"/>
  <c r="M61" i="5"/>
  <c r="R27" i="6"/>
  <c r="R28" i="6" s="1"/>
  <c r="R61" i="5"/>
  <c r="U27" i="6"/>
  <c r="U28" i="6" s="1"/>
  <c r="U61" i="5"/>
  <c r="Y27" i="6"/>
  <c r="Y28" i="6" s="1"/>
  <c r="Y61" i="5"/>
  <c r="Q27" i="6"/>
  <c r="Q28" i="6" s="1"/>
  <c r="Q61" i="5"/>
  <c r="T27" i="6"/>
  <c r="T28" i="6" s="1"/>
  <c r="T61" i="5"/>
  <c r="W27" i="6"/>
  <c r="W28" i="6" s="1"/>
  <c r="W61" i="5"/>
  <c r="O27" i="6"/>
  <c r="O28" i="6" s="1"/>
  <c r="O61" i="5"/>
  <c r="S27" i="6"/>
  <c r="S28" i="6" s="1"/>
  <c r="S61" i="5"/>
  <c r="X27" i="6"/>
  <c r="X28" i="6" s="1"/>
  <c r="X61" i="5"/>
  <c r="N27" i="6"/>
  <c r="N28" i="6" s="1"/>
  <c r="N61" i="5"/>
  <c r="P27" i="6"/>
  <c r="P28" i="6" s="1"/>
  <c r="P61" i="5"/>
  <c r="V27" i="6"/>
  <c r="V28" i="6" s="1"/>
  <c r="V61" i="5"/>
  <c r="L27" i="6"/>
  <c r="L28" i="6" s="1"/>
  <c r="L61" i="5"/>
  <c r="K27" i="6"/>
  <c r="K28" i="6" s="1"/>
  <c r="K61" i="5"/>
  <c r="J27" i="6"/>
  <c r="J28" i="6" s="1"/>
  <c r="J61" i="5"/>
  <c r="I27" i="6"/>
  <c r="I28" i="6" s="1"/>
  <c r="I61" i="5"/>
  <c r="H27" i="6"/>
  <c r="H28" i="6" s="1"/>
  <c r="H61" i="5"/>
  <c r="G27" i="6"/>
  <c r="G28" i="6" s="1"/>
  <c r="G61" i="5"/>
  <c r="F27" i="6"/>
  <c r="F28" i="6" s="1"/>
  <c r="F61" i="5"/>
  <c r="E27" i="6"/>
  <c r="E28" i="6" s="1"/>
  <c r="E61" i="5"/>
  <c r="D27" i="6"/>
  <c r="D28" i="6" s="1"/>
  <c r="D61" i="5"/>
  <c r="C27" i="6"/>
  <c r="C28" i="6" s="1"/>
  <c r="C61" i="5"/>
  <c r="B38" i="4"/>
  <c r="Z35" i="4"/>
  <c r="B10" i="4"/>
  <c r="Z7" i="4"/>
  <c r="Y15" i="6"/>
  <c r="Y16" i="6" s="1"/>
  <c r="Y36" i="5"/>
  <c r="X36" i="5"/>
  <c r="X15" i="6"/>
  <c r="X16" i="6" s="1"/>
  <c r="V15" i="6"/>
  <c r="V16" i="6" s="1"/>
  <c r="V36" i="5"/>
  <c r="U15" i="6"/>
  <c r="U16" i="6" s="1"/>
  <c r="U36" i="5"/>
  <c r="T15" i="6"/>
  <c r="T16" i="6" s="1"/>
  <c r="T36" i="5"/>
  <c r="S15" i="6"/>
  <c r="S16" i="6" s="1"/>
  <c r="S36" i="5"/>
  <c r="R15" i="6"/>
  <c r="R16" i="6" s="1"/>
  <c r="R36" i="5"/>
  <c r="Q15" i="6"/>
  <c r="Q16" i="6" s="1"/>
  <c r="Q36" i="5"/>
  <c r="P15" i="6"/>
  <c r="P16" i="6" s="1"/>
  <c r="P36" i="5"/>
  <c r="O15" i="6"/>
  <c r="O16" i="6" s="1"/>
  <c r="O36" i="5"/>
  <c r="N15" i="6"/>
  <c r="N16" i="6" s="1"/>
  <c r="N36" i="5"/>
  <c r="M15" i="6"/>
  <c r="M16" i="6" s="1"/>
  <c r="M36" i="5"/>
  <c r="L15" i="6"/>
  <c r="L16" i="6" s="1"/>
  <c r="L36" i="5"/>
  <c r="K15" i="6"/>
  <c r="K16" i="6" s="1"/>
  <c r="K36" i="5"/>
  <c r="J15" i="6"/>
  <c r="J16" i="6" s="1"/>
  <c r="J36" i="5"/>
  <c r="I15" i="6"/>
  <c r="I16" i="6" s="1"/>
  <c r="I36" i="5"/>
  <c r="H15" i="6"/>
  <c r="H16" i="6" s="1"/>
  <c r="H36" i="5"/>
  <c r="G15" i="6"/>
  <c r="G16" i="6" s="1"/>
  <c r="G36" i="5"/>
  <c r="F15" i="6"/>
  <c r="F16" i="6" s="1"/>
  <c r="Z21" i="4"/>
  <c r="B24" i="4"/>
  <c r="X3" i="6"/>
  <c r="X4" i="6" s="1"/>
  <c r="X11" i="5"/>
  <c r="W3" i="6"/>
  <c r="W4" i="6" s="1"/>
  <c r="W11" i="5"/>
  <c r="V11" i="5"/>
  <c r="V3" i="6"/>
  <c r="V4" i="6" s="1"/>
  <c r="U3" i="6"/>
  <c r="U4" i="6" s="1"/>
  <c r="U11" i="5"/>
  <c r="S3" i="6"/>
  <c r="S4" i="6" s="1"/>
  <c r="S11" i="5"/>
  <c r="N3" i="6"/>
  <c r="N4" i="6" s="1"/>
  <c r="N11" i="5"/>
  <c r="L3" i="6"/>
  <c r="L4" i="6" s="1"/>
  <c r="L11" i="5"/>
  <c r="I3" i="6"/>
  <c r="I4" i="6" s="1"/>
  <c r="Z43" i="5"/>
  <c r="Z18" i="5"/>
  <c r="Z36" i="4"/>
  <c r="W24" i="4"/>
  <c r="Z22" i="4"/>
  <c r="Z67" i="5"/>
  <c r="D15" i="1"/>
  <c r="D21" i="10" s="1"/>
  <c r="Z42" i="7" l="1"/>
  <c r="Z71" i="9"/>
  <c r="M3" i="6"/>
  <c r="M4" i="6" s="1"/>
  <c r="M11" i="5"/>
  <c r="F11" i="5"/>
  <c r="F3" i="6"/>
  <c r="F4" i="6" s="1"/>
  <c r="Y11" i="5"/>
  <c r="B17" i="1" s="1"/>
  <c r="B23" i="10" s="1"/>
  <c r="Y3" i="6"/>
  <c r="Y4" i="6" s="1"/>
  <c r="E15" i="6"/>
  <c r="E16" i="6" s="1"/>
  <c r="E36" i="5"/>
  <c r="D15" i="6"/>
  <c r="D16" i="6" s="1"/>
  <c r="D36" i="5"/>
  <c r="C15" i="6"/>
  <c r="C16" i="6" s="1"/>
  <c r="C21" i="7" s="1"/>
  <c r="C36" i="5"/>
  <c r="Q3" i="6"/>
  <c r="Q4" i="6" s="1"/>
  <c r="Q11" i="5"/>
  <c r="P11" i="5"/>
  <c r="P3" i="6"/>
  <c r="P4" i="6" s="1"/>
  <c r="P3" i="7" s="1"/>
  <c r="P5" i="7" s="1"/>
  <c r="P9" i="7" s="1"/>
  <c r="O3" i="6"/>
  <c r="O4" i="6" s="1"/>
  <c r="O11" i="5"/>
  <c r="K11" i="5"/>
  <c r="K3" i="6"/>
  <c r="K4" i="6" s="1"/>
  <c r="J11" i="5"/>
  <c r="J3" i="6"/>
  <c r="J4" i="6" s="1"/>
  <c r="E3" i="6"/>
  <c r="E4" i="6" s="1"/>
  <c r="E11" i="5"/>
  <c r="T3" i="6"/>
  <c r="T4" i="6" s="1"/>
  <c r="T3" i="7" s="1"/>
  <c r="T11" i="5"/>
  <c r="H3" i="6"/>
  <c r="H4" i="6" s="1"/>
  <c r="H11" i="5"/>
  <c r="G3" i="6"/>
  <c r="G4" i="6" s="1"/>
  <c r="G11" i="5"/>
  <c r="C3" i="6"/>
  <c r="C4" i="6" s="1"/>
  <c r="C11" i="5"/>
  <c r="D3" i="6"/>
  <c r="D4" i="6" s="1"/>
  <c r="D11" i="5"/>
  <c r="R3" i="6"/>
  <c r="R4" i="6" s="1"/>
  <c r="R11" i="5"/>
  <c r="Z38" i="9"/>
  <c r="Z5" i="9"/>
  <c r="M29" i="6"/>
  <c r="M70" i="9" s="1"/>
  <c r="M39" i="7"/>
  <c r="M40" i="7"/>
  <c r="M63" i="5"/>
  <c r="M66" i="5" s="1"/>
  <c r="M72" i="9"/>
  <c r="R29" i="6"/>
  <c r="R70" i="9" s="1"/>
  <c r="R39" i="7"/>
  <c r="R40" i="7"/>
  <c r="R63" i="5"/>
  <c r="R66" i="5" s="1"/>
  <c r="R72" i="9"/>
  <c r="U29" i="6"/>
  <c r="U70" i="9" s="1"/>
  <c r="U39" i="7"/>
  <c r="U40" i="7"/>
  <c r="U63" i="5"/>
  <c r="U66" i="5" s="1"/>
  <c r="U72" i="9"/>
  <c r="Y39" i="7"/>
  <c r="Y29" i="6"/>
  <c r="Y70" i="9" s="1"/>
  <c r="Y63" i="5"/>
  <c r="Y66" i="5" s="1"/>
  <c r="D17" i="1"/>
  <c r="D23" i="10" s="1"/>
  <c r="Y40" i="7"/>
  <c r="Y72" i="9"/>
  <c r="D21" i="1"/>
  <c r="Q29" i="6"/>
  <c r="Q70" i="9" s="1"/>
  <c r="Q39" i="7"/>
  <c r="Q40" i="7"/>
  <c r="Q63" i="5"/>
  <c r="Q66" i="5" s="1"/>
  <c r="Q72" i="9"/>
  <c r="T29" i="6"/>
  <c r="T70" i="9" s="1"/>
  <c r="T39" i="7"/>
  <c r="T40" i="7"/>
  <c r="T63" i="5"/>
  <c r="T66" i="5" s="1"/>
  <c r="T72" i="9"/>
  <c r="W29" i="6"/>
  <c r="W70" i="9" s="1"/>
  <c r="W39" i="7"/>
  <c r="W40" i="7"/>
  <c r="W63" i="5"/>
  <c r="W66" i="5" s="1"/>
  <c r="W72" i="9"/>
  <c r="O29" i="6"/>
  <c r="O70" i="9" s="1"/>
  <c r="O39" i="7"/>
  <c r="O40" i="7"/>
  <c r="O63" i="5"/>
  <c r="O66" i="5" s="1"/>
  <c r="O72" i="9"/>
  <c r="S29" i="6"/>
  <c r="S70" i="9" s="1"/>
  <c r="S39" i="7"/>
  <c r="S40" i="7"/>
  <c r="S63" i="5"/>
  <c r="S66" i="5" s="1"/>
  <c r="S72" i="9"/>
  <c r="X29" i="6"/>
  <c r="X70" i="9" s="1"/>
  <c r="X39" i="7"/>
  <c r="X63" i="5"/>
  <c r="X66" i="5" s="1"/>
  <c r="X40" i="7"/>
  <c r="X72" i="9"/>
  <c r="N29" i="6"/>
  <c r="N70" i="9" s="1"/>
  <c r="N39" i="7"/>
  <c r="N40" i="7"/>
  <c r="N63" i="5"/>
  <c r="N66" i="5" s="1"/>
  <c r="N72" i="9"/>
  <c r="P29" i="6"/>
  <c r="P70" i="9" s="1"/>
  <c r="P39" i="7"/>
  <c r="P40" i="7"/>
  <c r="P63" i="5"/>
  <c r="P66" i="5" s="1"/>
  <c r="P72" i="9"/>
  <c r="V29" i="6"/>
  <c r="V70" i="9" s="1"/>
  <c r="V39" i="7"/>
  <c r="V40" i="7"/>
  <c r="V63" i="5"/>
  <c r="V66" i="5" s="1"/>
  <c r="V72" i="9"/>
  <c r="L29" i="6"/>
  <c r="L70" i="9" s="1"/>
  <c r="L39" i="7"/>
  <c r="L40" i="7"/>
  <c r="L63" i="5"/>
  <c r="L66" i="5" s="1"/>
  <c r="L72" i="9"/>
  <c r="K29" i="6"/>
  <c r="K70" i="9" s="1"/>
  <c r="K39" i="7"/>
  <c r="K40" i="7"/>
  <c r="K63" i="5"/>
  <c r="K66" i="5" s="1"/>
  <c r="K72" i="9"/>
  <c r="J29" i="6"/>
  <c r="J70" i="9" s="1"/>
  <c r="J39" i="7"/>
  <c r="J40" i="7"/>
  <c r="J63" i="5"/>
  <c r="J66" i="5" s="1"/>
  <c r="J72" i="9"/>
  <c r="I29" i="6"/>
  <c r="I70" i="9" s="1"/>
  <c r="I39" i="7"/>
  <c r="I40" i="7"/>
  <c r="I63" i="5"/>
  <c r="I66" i="5" s="1"/>
  <c r="I72" i="9"/>
  <c r="H29" i="6"/>
  <c r="H70" i="9" s="1"/>
  <c r="H39" i="7"/>
  <c r="H40" i="7"/>
  <c r="H63" i="5"/>
  <c r="H66" i="5" s="1"/>
  <c r="H72" i="9"/>
  <c r="G29" i="6"/>
  <c r="G70" i="9" s="1"/>
  <c r="G39" i="7"/>
  <c r="G40" i="7"/>
  <c r="G63" i="5"/>
  <c r="G66" i="5" s="1"/>
  <c r="G72" i="9"/>
  <c r="F29" i="6"/>
  <c r="F70" i="9" s="1"/>
  <c r="F39" i="7"/>
  <c r="F63" i="5"/>
  <c r="F66" i="5" s="1"/>
  <c r="F40" i="7"/>
  <c r="F72" i="9"/>
  <c r="E39" i="7"/>
  <c r="E29" i="6"/>
  <c r="E70" i="9" s="1"/>
  <c r="E63" i="5"/>
  <c r="E66" i="5" s="1"/>
  <c r="E40" i="7"/>
  <c r="E72" i="9"/>
  <c r="D29" i="6"/>
  <c r="D70" i="9" s="1"/>
  <c r="D39" i="7"/>
  <c r="D63" i="5"/>
  <c r="D66" i="5" s="1"/>
  <c r="D40" i="7"/>
  <c r="D72" i="9"/>
  <c r="C29" i="6"/>
  <c r="C70" i="9" s="1"/>
  <c r="C39" i="7"/>
  <c r="C63" i="5"/>
  <c r="C66" i="5" s="1"/>
  <c r="C40" i="7"/>
  <c r="C72" i="9"/>
  <c r="Z38" i="4"/>
  <c r="B61" i="5"/>
  <c r="B27" i="6"/>
  <c r="Z10" i="4"/>
  <c r="B3" i="6"/>
  <c r="B11" i="5"/>
  <c r="Y21" i="7"/>
  <c r="Y17" i="6"/>
  <c r="Y37" i="9" s="1"/>
  <c r="C17" i="1"/>
  <c r="C23" i="10" s="1"/>
  <c r="Y38" i="5"/>
  <c r="Y41" i="5" s="1"/>
  <c r="Y22" i="7"/>
  <c r="Y39" i="9"/>
  <c r="C21" i="1"/>
  <c r="X38" i="5"/>
  <c r="X41" i="5" s="1"/>
  <c r="X39" i="9"/>
  <c r="X22" i="7"/>
  <c r="X21" i="7"/>
  <c r="X23" i="7" s="1"/>
  <c r="X27" i="7" s="1"/>
  <c r="X17" i="6"/>
  <c r="X37" i="9" s="1"/>
  <c r="V21" i="7"/>
  <c r="V17" i="6"/>
  <c r="V37" i="9" s="1"/>
  <c r="V38" i="5"/>
  <c r="V41" i="5" s="1"/>
  <c r="V39" i="9"/>
  <c r="V22" i="7"/>
  <c r="U17" i="6"/>
  <c r="U37" i="9" s="1"/>
  <c r="U21" i="7"/>
  <c r="U38" i="5"/>
  <c r="U41" i="5" s="1"/>
  <c r="U22" i="7"/>
  <c r="U39" i="9"/>
  <c r="T17" i="6"/>
  <c r="T37" i="9" s="1"/>
  <c r="T21" i="7"/>
  <c r="T38" i="5"/>
  <c r="T41" i="5" s="1"/>
  <c r="T22" i="7"/>
  <c r="T39" i="9"/>
  <c r="S17" i="6"/>
  <c r="S37" i="9" s="1"/>
  <c r="S21" i="7"/>
  <c r="S38" i="5"/>
  <c r="S41" i="5" s="1"/>
  <c r="S39" i="9"/>
  <c r="S22" i="7"/>
  <c r="R17" i="6"/>
  <c r="R37" i="9" s="1"/>
  <c r="R21" i="7"/>
  <c r="R38" i="5"/>
  <c r="R41" i="5" s="1"/>
  <c r="R22" i="7"/>
  <c r="R39" i="9"/>
  <c r="Q17" i="6"/>
  <c r="Q37" i="9" s="1"/>
  <c r="Q21" i="7"/>
  <c r="Q38" i="5"/>
  <c r="Q41" i="5" s="1"/>
  <c r="Q22" i="7"/>
  <c r="Q39" i="9"/>
  <c r="P17" i="6"/>
  <c r="P37" i="9" s="1"/>
  <c r="P21" i="7"/>
  <c r="P38" i="5"/>
  <c r="P41" i="5" s="1"/>
  <c r="P39" i="9"/>
  <c r="P22" i="7"/>
  <c r="O17" i="6"/>
  <c r="O37" i="9" s="1"/>
  <c r="O21" i="7"/>
  <c r="O38" i="5"/>
  <c r="O41" i="5" s="1"/>
  <c r="O22" i="7"/>
  <c r="O39" i="9"/>
  <c r="N21" i="7"/>
  <c r="N17" i="6"/>
  <c r="N37" i="9" s="1"/>
  <c r="N38" i="5"/>
  <c r="N41" i="5" s="1"/>
  <c r="N39" i="9"/>
  <c r="N22" i="7"/>
  <c r="M21" i="7"/>
  <c r="M17" i="6"/>
  <c r="M37" i="9" s="1"/>
  <c r="M38" i="5"/>
  <c r="M41" i="5" s="1"/>
  <c r="M22" i="7"/>
  <c r="M39" i="9"/>
  <c r="L21" i="7"/>
  <c r="L17" i="6"/>
  <c r="L37" i="9" s="1"/>
  <c r="L38" i="5"/>
  <c r="L41" i="5" s="1"/>
  <c r="L22" i="7"/>
  <c r="L39" i="9"/>
  <c r="K17" i="6"/>
  <c r="K37" i="9" s="1"/>
  <c r="K21" i="7"/>
  <c r="K38" i="5"/>
  <c r="K41" i="5" s="1"/>
  <c r="K22" i="7"/>
  <c r="K39" i="9"/>
  <c r="J21" i="7"/>
  <c r="J17" i="6"/>
  <c r="J37" i="9" s="1"/>
  <c r="J38" i="5"/>
  <c r="J41" i="5" s="1"/>
  <c r="J22" i="7"/>
  <c r="J39" i="9"/>
  <c r="I17" i="6"/>
  <c r="I37" i="9" s="1"/>
  <c r="I21" i="7"/>
  <c r="I38" i="5"/>
  <c r="I41" i="5" s="1"/>
  <c r="I22" i="7"/>
  <c r="I39" i="9"/>
  <c r="H21" i="7"/>
  <c r="H17" i="6"/>
  <c r="H37" i="9" s="1"/>
  <c r="H38" i="5"/>
  <c r="H41" i="5" s="1"/>
  <c r="H22" i="7"/>
  <c r="H39" i="9"/>
  <c r="G17" i="6"/>
  <c r="G37" i="9" s="1"/>
  <c r="G21" i="7"/>
  <c r="G38" i="5"/>
  <c r="G41" i="5" s="1"/>
  <c r="G22" i="7"/>
  <c r="G39" i="9"/>
  <c r="F17" i="6"/>
  <c r="F37" i="9" s="1"/>
  <c r="F21" i="7"/>
  <c r="F38" i="5"/>
  <c r="F41" i="5" s="1"/>
  <c r="F22" i="7"/>
  <c r="F39" i="9"/>
  <c r="C17" i="6"/>
  <c r="C37" i="9" s="1"/>
  <c r="Z24" i="4"/>
  <c r="B36" i="5"/>
  <c r="B15" i="6"/>
  <c r="P13" i="5"/>
  <c r="P16" i="5" s="1"/>
  <c r="P6" i="9"/>
  <c r="P4" i="7"/>
  <c r="P5" i="6"/>
  <c r="P4" i="9" s="1"/>
  <c r="O5" i="6"/>
  <c r="O4" i="9" s="1"/>
  <c r="O3" i="7"/>
  <c r="O13" i="5"/>
  <c r="O16" i="5" s="1"/>
  <c r="O4" i="7"/>
  <c r="O6" i="9"/>
  <c r="M5" i="6"/>
  <c r="M4" i="9" s="1"/>
  <c r="M3" i="7"/>
  <c r="M13" i="5"/>
  <c r="M16" i="5" s="1"/>
  <c r="M4" i="7"/>
  <c r="M6" i="9"/>
  <c r="K13" i="5"/>
  <c r="K16" i="5" s="1"/>
  <c r="K6" i="9"/>
  <c r="K4" i="7"/>
  <c r="K5" i="6"/>
  <c r="K4" i="9" s="1"/>
  <c r="K3" i="7"/>
  <c r="J5" i="6"/>
  <c r="J4" i="9" s="1"/>
  <c r="J3" i="7"/>
  <c r="J13" i="5"/>
  <c r="J16" i="5" s="1"/>
  <c r="J4" i="7"/>
  <c r="J6" i="9"/>
  <c r="E5" i="6"/>
  <c r="E4" i="9" s="1"/>
  <c r="E3" i="7"/>
  <c r="E13" i="5"/>
  <c r="E16" i="5" s="1"/>
  <c r="E4" i="7"/>
  <c r="E6" i="9"/>
  <c r="D5" i="6"/>
  <c r="D4" i="9" s="1"/>
  <c r="D3" i="7"/>
  <c r="D13" i="5"/>
  <c r="D16" i="5" s="1"/>
  <c r="D4" i="7"/>
  <c r="D6" i="9"/>
  <c r="Y13" i="5"/>
  <c r="Y16" i="5" s="1"/>
  <c r="Y4" i="7"/>
  <c r="Y6" i="9"/>
  <c r="B21" i="1"/>
  <c r="X3" i="7"/>
  <c r="X5" i="6"/>
  <c r="X4" i="9" s="1"/>
  <c r="X13" i="5"/>
  <c r="X16" i="5" s="1"/>
  <c r="X4" i="7"/>
  <c r="X6" i="9"/>
  <c r="W3" i="7"/>
  <c r="W5" i="6"/>
  <c r="W4" i="9" s="1"/>
  <c r="W13" i="5"/>
  <c r="W16" i="5" s="1"/>
  <c r="W4" i="7"/>
  <c r="W6" i="9"/>
  <c r="V13" i="5"/>
  <c r="V16" i="5" s="1"/>
  <c r="V6" i="9"/>
  <c r="V4" i="7"/>
  <c r="V3" i="7"/>
  <c r="V5" i="7" s="1"/>
  <c r="V9" i="7" s="1"/>
  <c r="V5" i="6"/>
  <c r="V4" i="9" s="1"/>
  <c r="U5" i="6"/>
  <c r="U4" i="9" s="1"/>
  <c r="U3" i="7"/>
  <c r="U13" i="5"/>
  <c r="U16" i="5" s="1"/>
  <c r="U4" i="7"/>
  <c r="U6" i="9"/>
  <c r="T5" i="6"/>
  <c r="T4" i="9" s="1"/>
  <c r="T13" i="5"/>
  <c r="T16" i="5" s="1"/>
  <c r="T4" i="7"/>
  <c r="T6" i="9"/>
  <c r="S3" i="7"/>
  <c r="S5" i="6"/>
  <c r="S4" i="9" s="1"/>
  <c r="S13" i="5"/>
  <c r="S16" i="5" s="1"/>
  <c r="S4" i="7"/>
  <c r="S6" i="9"/>
  <c r="R3" i="7"/>
  <c r="R5" i="6"/>
  <c r="R4" i="9" s="1"/>
  <c r="R13" i="5"/>
  <c r="R16" i="5" s="1"/>
  <c r="R4" i="7"/>
  <c r="R6" i="9"/>
  <c r="N5" i="6"/>
  <c r="N4" i="9" s="1"/>
  <c r="N3" i="7"/>
  <c r="N13" i="5"/>
  <c r="N16" i="5" s="1"/>
  <c r="N4" i="7"/>
  <c r="N6" i="9"/>
  <c r="L5" i="6"/>
  <c r="L4" i="9" s="1"/>
  <c r="L3" i="7"/>
  <c r="L13" i="5"/>
  <c r="L16" i="5" s="1"/>
  <c r="L4" i="7"/>
  <c r="L6" i="9"/>
  <c r="I5" i="6"/>
  <c r="I4" i="9" s="1"/>
  <c r="I3" i="7"/>
  <c r="I13" i="5"/>
  <c r="I16" i="5" s="1"/>
  <c r="I4" i="7"/>
  <c r="I6" i="9"/>
  <c r="H5" i="6"/>
  <c r="H4" i="9" s="1"/>
  <c r="H3" i="7"/>
  <c r="H5" i="7" s="1"/>
  <c r="H9" i="7" s="1"/>
  <c r="H13" i="5"/>
  <c r="H16" i="5" s="1"/>
  <c r="H4" i="7"/>
  <c r="H6" i="9"/>
  <c r="G5" i="6"/>
  <c r="G4" i="9" s="1"/>
  <c r="G3" i="7"/>
  <c r="G13" i="5"/>
  <c r="G16" i="5" s="1"/>
  <c r="G4" i="7"/>
  <c r="G6" i="9"/>
  <c r="C5" i="6"/>
  <c r="C4" i="9" s="1"/>
  <c r="C3" i="7"/>
  <c r="C13" i="5"/>
  <c r="C16" i="5" s="1"/>
  <c r="C4" i="7"/>
  <c r="C6" i="9"/>
  <c r="W36" i="5"/>
  <c r="W15" i="6"/>
  <c r="W16" i="6" s="1"/>
  <c r="Z24" i="7"/>
  <c r="Z6" i="7"/>
  <c r="K5" i="7" l="1"/>
  <c r="K9" i="7" s="1"/>
  <c r="F13" i="5"/>
  <c r="F16" i="5" s="1"/>
  <c r="F6" i="9"/>
  <c r="F4" i="7"/>
  <c r="F5" i="6"/>
  <c r="F4" i="9" s="1"/>
  <c r="F3" i="7"/>
  <c r="F5" i="7" s="1"/>
  <c r="F9" i="7" s="1"/>
  <c r="Y3" i="7"/>
  <c r="Y5" i="7" s="1"/>
  <c r="Y9" i="7" s="1"/>
  <c r="Y5" i="6"/>
  <c r="Y4" i="9" s="1"/>
  <c r="E21" i="7"/>
  <c r="E23" i="7" s="1"/>
  <c r="E27" i="7" s="1"/>
  <c r="E17" i="6"/>
  <c r="E37" i="9" s="1"/>
  <c r="E38" i="5"/>
  <c r="E41" i="5" s="1"/>
  <c r="E22" i="7"/>
  <c r="E39" i="9"/>
  <c r="D17" i="6"/>
  <c r="D37" i="9" s="1"/>
  <c r="D21" i="7"/>
  <c r="D23" i="7" s="1"/>
  <c r="D27" i="7" s="1"/>
  <c r="D38" i="5"/>
  <c r="D41" i="5" s="1"/>
  <c r="D22" i="7"/>
  <c r="D39" i="9"/>
  <c r="C38" i="5"/>
  <c r="C41" i="5" s="1"/>
  <c r="C22" i="7"/>
  <c r="C23" i="7" s="1"/>
  <c r="C27" i="7" s="1"/>
  <c r="C39" i="9"/>
  <c r="Q3" i="7"/>
  <c r="Q5" i="7" s="1"/>
  <c r="Q9" i="7" s="1"/>
  <c r="Q5" i="6"/>
  <c r="Q4" i="9" s="1"/>
  <c r="Q13" i="5"/>
  <c r="Q16" i="5" s="1"/>
  <c r="Q4" i="7"/>
  <c r="Q6" i="9"/>
  <c r="U41" i="7"/>
  <c r="U45" i="7" s="1"/>
  <c r="Q41" i="7"/>
  <c r="Q45" i="7" s="1"/>
  <c r="T41" i="7"/>
  <c r="T45" i="7" s="1"/>
  <c r="T5" i="7"/>
  <c r="T9" i="7" s="1"/>
  <c r="G5" i="7"/>
  <c r="G9" i="7" s="1"/>
  <c r="B63" i="5"/>
  <c r="Z61" i="5"/>
  <c r="B40" i="7"/>
  <c r="Z40" i="7" s="1"/>
  <c r="B72" i="9"/>
  <c r="D6" i="1"/>
  <c r="B28" i="6"/>
  <c r="Z27" i="6"/>
  <c r="Z3" i="6"/>
  <c r="B4" i="6"/>
  <c r="B13" i="5"/>
  <c r="Z11" i="5"/>
  <c r="B6" i="9"/>
  <c r="B6" i="1"/>
  <c r="B4" i="7"/>
  <c r="B38" i="5"/>
  <c r="Z36" i="5"/>
  <c r="B22" i="7"/>
  <c r="B39" i="9"/>
  <c r="C6" i="1"/>
  <c r="B16" i="6"/>
  <c r="Z15" i="6"/>
  <c r="W38" i="5"/>
  <c r="W41" i="5" s="1"/>
  <c r="W22" i="7"/>
  <c r="W39" i="9"/>
  <c r="W17" i="6"/>
  <c r="W37" i="9" s="1"/>
  <c r="W21" i="7"/>
  <c r="W23" i="7" s="1"/>
  <c r="W27" i="7" s="1"/>
  <c r="Y41" i="7"/>
  <c r="Y45" i="7" s="1"/>
  <c r="S41" i="7"/>
  <c r="S45" i="7" s="1"/>
  <c r="X41" i="7"/>
  <c r="X45" i="7" s="1"/>
  <c r="N41" i="7"/>
  <c r="N45" i="7" s="1"/>
  <c r="P41" i="7"/>
  <c r="P45" i="7" s="1"/>
  <c r="V41" i="7"/>
  <c r="V45" i="7" s="1"/>
  <c r="L41" i="7"/>
  <c r="L45" i="7" s="1"/>
  <c r="K41" i="7"/>
  <c r="K45" i="7" s="1"/>
  <c r="J41" i="7"/>
  <c r="J45" i="7" s="1"/>
  <c r="G41" i="7"/>
  <c r="G45" i="7" s="1"/>
  <c r="Y23" i="7"/>
  <c r="Y27" i="7" s="1"/>
  <c r="I41" i="7"/>
  <c r="I45" i="7" s="1"/>
  <c r="H41" i="7"/>
  <c r="H45" i="7" s="1"/>
  <c r="F41" i="7"/>
  <c r="F45" i="7" s="1"/>
  <c r="E41" i="7"/>
  <c r="E45" i="7" s="1"/>
  <c r="D41" i="7"/>
  <c r="D45" i="7" s="1"/>
  <c r="C41" i="7"/>
  <c r="C45" i="7" s="1"/>
  <c r="V23" i="7"/>
  <c r="V27" i="7" s="1"/>
  <c r="U23" i="7"/>
  <c r="U27" i="7" s="1"/>
  <c r="T23" i="7"/>
  <c r="T27" i="7" s="1"/>
  <c r="H23" i="7"/>
  <c r="H27" i="7" s="1"/>
  <c r="G23" i="7"/>
  <c r="G27" i="7" s="1"/>
  <c r="F23" i="7"/>
  <c r="F27" i="7" s="1"/>
  <c r="O5" i="7"/>
  <c r="O9" i="7" s="1"/>
  <c r="S23" i="7"/>
  <c r="S27" i="7" s="1"/>
  <c r="R23" i="7"/>
  <c r="R27" i="7" s="1"/>
  <c r="Q23" i="7"/>
  <c r="Q27" i="7" s="1"/>
  <c r="N23" i="7"/>
  <c r="N27" i="7" s="1"/>
  <c r="M23" i="7"/>
  <c r="M27" i="7" s="1"/>
  <c r="L23" i="7"/>
  <c r="L27" i="7" s="1"/>
  <c r="L5" i="7"/>
  <c r="L9" i="7" s="1"/>
  <c r="P23" i="7"/>
  <c r="P27" i="7" s="1"/>
  <c r="O23" i="7"/>
  <c r="O27" i="7" s="1"/>
  <c r="K23" i="7"/>
  <c r="K27" i="7" s="1"/>
  <c r="J23" i="7"/>
  <c r="J27" i="7" s="1"/>
  <c r="I23" i="7"/>
  <c r="I27" i="7" s="1"/>
  <c r="M41" i="7"/>
  <c r="M45" i="7" s="1"/>
  <c r="R41" i="7"/>
  <c r="R45" i="7" s="1"/>
  <c r="W41" i="7"/>
  <c r="W45" i="7" s="1"/>
  <c r="O41" i="7"/>
  <c r="O45" i="7" s="1"/>
  <c r="M5" i="7"/>
  <c r="M9" i="7" s="1"/>
  <c r="J5" i="7"/>
  <c r="J9" i="7" s="1"/>
  <c r="E5" i="7"/>
  <c r="E9" i="7" s="1"/>
  <c r="D5" i="7"/>
  <c r="D9" i="7" s="1"/>
  <c r="N5" i="7"/>
  <c r="N9" i="7" s="1"/>
  <c r="I5" i="7"/>
  <c r="I9" i="7" s="1"/>
  <c r="X5" i="7"/>
  <c r="X9" i="7" s="1"/>
  <c r="W5" i="7"/>
  <c r="W9" i="7" s="1"/>
  <c r="U5" i="7"/>
  <c r="U9" i="7" s="1"/>
  <c r="S5" i="7"/>
  <c r="S9" i="7" s="1"/>
  <c r="R5" i="7"/>
  <c r="R9" i="7" s="1"/>
  <c r="C5" i="7"/>
  <c r="C9" i="7" s="1"/>
  <c r="Z4" i="7" l="1"/>
  <c r="Z63" i="5"/>
  <c r="B66" i="5"/>
  <c r="Z66" i="5" s="1"/>
  <c r="B75" i="9"/>
  <c r="B77" i="9" s="1"/>
  <c r="Z72" i="9"/>
  <c r="Z28" i="6"/>
  <c r="B29" i="6"/>
  <c r="B39" i="7"/>
  <c r="Z4" i="6"/>
  <c r="B5" i="6"/>
  <c r="B3" i="7"/>
  <c r="B16" i="5"/>
  <c r="Z16" i="5" s="1"/>
  <c r="Z13" i="5"/>
  <c r="B9" i="9"/>
  <c r="B11" i="9" s="1"/>
  <c r="Z6" i="9"/>
  <c r="B41" i="5"/>
  <c r="Z41" i="5" s="1"/>
  <c r="Z38" i="5"/>
  <c r="B42" i="9"/>
  <c r="B44" i="9" s="1"/>
  <c r="Z39" i="9"/>
  <c r="B21" i="7"/>
  <c r="E18" i="6"/>
  <c r="E56" i="9" s="1"/>
  <c r="E22" i="8" s="1"/>
  <c r="L18" i="6"/>
  <c r="L56" i="9" s="1"/>
  <c r="L22" i="8" s="1"/>
  <c r="R18" i="6"/>
  <c r="R56" i="9" s="1"/>
  <c r="R22" i="8" s="1"/>
  <c r="U18" i="6"/>
  <c r="U56" i="9" s="1"/>
  <c r="U22" i="8" s="1"/>
  <c r="Z16" i="6"/>
  <c r="B17" i="6"/>
  <c r="B18" i="6"/>
  <c r="B56" i="9" s="1"/>
  <c r="B22" i="8" s="1"/>
  <c r="Z22" i="7"/>
  <c r="W18" i="6" l="1"/>
  <c r="W56" i="9" s="1"/>
  <c r="W22" i="8" s="1"/>
  <c r="F18" i="6"/>
  <c r="F56" i="9" s="1"/>
  <c r="F22" i="8" s="1"/>
  <c r="J18" i="6"/>
  <c r="J56" i="9" s="1"/>
  <c r="J22" i="8" s="1"/>
  <c r="N18" i="6"/>
  <c r="N56" i="9" s="1"/>
  <c r="N22" i="8" s="1"/>
  <c r="T18" i="6"/>
  <c r="T56" i="9" s="1"/>
  <c r="T22" i="8" s="1"/>
  <c r="Y18" i="6"/>
  <c r="G18" i="6"/>
  <c r="G56" i="9" s="1"/>
  <c r="G22" i="8" s="1"/>
  <c r="K18" i="6"/>
  <c r="K56" i="9" s="1"/>
  <c r="K22" i="8" s="1"/>
  <c r="I18" i="6"/>
  <c r="I56" i="9" s="1"/>
  <c r="I22" i="8" s="1"/>
  <c r="P18" i="6"/>
  <c r="P56" i="9" s="1"/>
  <c r="P22" i="8" s="1"/>
  <c r="V18" i="6"/>
  <c r="V56" i="9" s="1"/>
  <c r="V22" i="8" s="1"/>
  <c r="M18" i="6"/>
  <c r="M56" i="9" s="1"/>
  <c r="M22" i="8" s="1"/>
  <c r="B76" i="9"/>
  <c r="B81" i="9"/>
  <c r="B91" i="9"/>
  <c r="Z29" i="6"/>
  <c r="B70" i="9"/>
  <c r="D12" i="1"/>
  <c r="D6" i="10" s="1"/>
  <c r="Z39" i="7"/>
  <c r="B41" i="7"/>
  <c r="Z5" i="6"/>
  <c r="B4" i="9"/>
  <c r="B12" i="1"/>
  <c r="B6" i="10" s="1"/>
  <c r="B5" i="7"/>
  <c r="Z3" i="7"/>
  <c r="B10" i="9"/>
  <c r="B15" i="9"/>
  <c r="B25" i="9"/>
  <c r="B43" i="9"/>
  <c r="B48" i="9"/>
  <c r="B58" i="9"/>
  <c r="Z21" i="7"/>
  <c r="B23" i="7"/>
  <c r="Z17" i="6"/>
  <c r="C12" i="1"/>
  <c r="C6" i="10" s="1"/>
  <c r="B37" i="9"/>
  <c r="Z18" i="6"/>
  <c r="Y56" i="9"/>
  <c r="F30" i="6"/>
  <c r="F89" i="9" s="1"/>
  <c r="F40" i="8" s="1"/>
  <c r="P30" i="6"/>
  <c r="P89" i="9" s="1"/>
  <c r="P40" i="8" s="1"/>
  <c r="X30" i="6"/>
  <c r="X89" i="9" s="1"/>
  <c r="X40" i="8" s="1"/>
  <c r="D30" i="6"/>
  <c r="D89" i="9" s="1"/>
  <c r="D40" i="8" s="1"/>
  <c r="E30" i="6"/>
  <c r="E89" i="9" s="1"/>
  <c r="E40" i="8" s="1"/>
  <c r="G30" i="6"/>
  <c r="G89" i="9" s="1"/>
  <c r="G40" i="8" s="1"/>
  <c r="I30" i="6"/>
  <c r="I89" i="9" s="1"/>
  <c r="I40" i="8" s="1"/>
  <c r="K30" i="6"/>
  <c r="K89" i="9" s="1"/>
  <c r="K40" i="8" s="1"/>
  <c r="M30" i="6"/>
  <c r="M89" i="9" s="1"/>
  <c r="M40" i="8" s="1"/>
  <c r="O30" i="6"/>
  <c r="O89" i="9" s="1"/>
  <c r="O40" i="8" s="1"/>
  <c r="Q30" i="6"/>
  <c r="Q89" i="9" s="1"/>
  <c r="Q40" i="8" s="1"/>
  <c r="S30" i="6"/>
  <c r="S89" i="9" s="1"/>
  <c r="S40" i="8" s="1"/>
  <c r="T30" i="6"/>
  <c r="T89" i="9" s="1"/>
  <c r="T40" i="8" s="1"/>
  <c r="V30" i="6"/>
  <c r="V89" i="9" s="1"/>
  <c r="V40" i="8" s="1"/>
  <c r="W30" i="6"/>
  <c r="W89" i="9" s="1"/>
  <c r="W40" i="8" s="1"/>
  <c r="Y30" i="6"/>
  <c r="C30" i="6"/>
  <c r="C89" i="9" s="1"/>
  <c r="C40" i="8" s="1"/>
  <c r="L30" i="6"/>
  <c r="L89" i="9" s="1"/>
  <c r="L40" i="8" s="1"/>
  <c r="H30" i="6"/>
  <c r="H89" i="9" s="1"/>
  <c r="H40" i="8" s="1"/>
  <c r="N30" i="6"/>
  <c r="N89" i="9" s="1"/>
  <c r="N40" i="8" s="1"/>
  <c r="B30" i="6"/>
  <c r="B89" i="9" s="1"/>
  <c r="B40" i="8" s="1"/>
  <c r="J30" i="6"/>
  <c r="J89" i="9" s="1"/>
  <c r="J40" i="8" s="1"/>
  <c r="U30" i="6"/>
  <c r="U89" i="9" s="1"/>
  <c r="U40" i="8" s="1"/>
  <c r="R30" i="6"/>
  <c r="R89" i="9" s="1"/>
  <c r="R40" i="8" s="1"/>
  <c r="G6" i="6"/>
  <c r="G23" i="9" s="1"/>
  <c r="G4" i="8" s="1"/>
  <c r="P6" i="6"/>
  <c r="P23" i="9" s="1"/>
  <c r="P4" i="8" s="1"/>
  <c r="F6" i="6"/>
  <c r="F23" i="9" s="1"/>
  <c r="F4" i="8" s="1"/>
  <c r="J6" i="6"/>
  <c r="J23" i="9" s="1"/>
  <c r="J4" i="8" s="1"/>
  <c r="C6" i="6"/>
  <c r="C23" i="9" s="1"/>
  <c r="C4" i="8" s="1"/>
  <c r="D6" i="6"/>
  <c r="D23" i="9" s="1"/>
  <c r="D4" i="8" s="1"/>
  <c r="R6" i="6"/>
  <c r="R23" i="9" s="1"/>
  <c r="R4" i="8" s="1"/>
  <c r="L6" i="6"/>
  <c r="L23" i="9" s="1"/>
  <c r="L4" i="8" s="1"/>
  <c r="Y6" i="6"/>
  <c r="K6" i="6"/>
  <c r="K23" i="9" s="1"/>
  <c r="K4" i="8" s="1"/>
  <c r="Q6" i="6"/>
  <c r="Q23" i="9" s="1"/>
  <c r="Q4" i="8" s="1"/>
  <c r="I6" i="6"/>
  <c r="I23" i="9" s="1"/>
  <c r="I4" i="8" s="1"/>
  <c r="W6" i="6"/>
  <c r="W23" i="9" s="1"/>
  <c r="W4" i="8" s="1"/>
  <c r="O6" i="6"/>
  <c r="O23" i="9" s="1"/>
  <c r="O4" i="8" s="1"/>
  <c r="M6" i="6"/>
  <c r="M23" i="9" s="1"/>
  <c r="M4" i="8" s="1"/>
  <c r="E6" i="6"/>
  <c r="E23" i="9" s="1"/>
  <c r="E4" i="8" s="1"/>
  <c r="X6" i="6"/>
  <c r="X23" i="9" s="1"/>
  <c r="X4" i="8" s="1"/>
  <c r="V6" i="6"/>
  <c r="V23" i="9" s="1"/>
  <c r="V4" i="8" s="1"/>
  <c r="N6" i="6"/>
  <c r="N23" i="9" s="1"/>
  <c r="N4" i="8" s="1"/>
  <c r="T6" i="6"/>
  <c r="T23" i="9" s="1"/>
  <c r="T4" i="8" s="1"/>
  <c r="H6" i="6"/>
  <c r="H23" i="9" s="1"/>
  <c r="H4" i="8" s="1"/>
  <c r="S6" i="6"/>
  <c r="S23" i="9" s="1"/>
  <c r="S4" i="8" s="1"/>
  <c r="U6" i="6"/>
  <c r="U23" i="9" s="1"/>
  <c r="U4" i="8" s="1"/>
  <c r="B6" i="6"/>
  <c r="B23" i="9" s="1"/>
  <c r="B4" i="8" s="1"/>
  <c r="O18" i="6"/>
  <c r="O56" i="9" s="1"/>
  <c r="O22" i="8" s="1"/>
  <c r="D18" i="6"/>
  <c r="D56" i="9" s="1"/>
  <c r="D22" i="8" s="1"/>
  <c r="H18" i="6"/>
  <c r="H56" i="9" s="1"/>
  <c r="H22" i="8" s="1"/>
  <c r="Q18" i="6"/>
  <c r="Q56" i="9" s="1"/>
  <c r="Q22" i="8" s="1"/>
  <c r="S18" i="6"/>
  <c r="S56" i="9" s="1"/>
  <c r="S22" i="8" s="1"/>
  <c r="X18" i="6"/>
  <c r="X56" i="9" s="1"/>
  <c r="X22" i="8" s="1"/>
  <c r="C18" i="6"/>
  <c r="C56" i="9" s="1"/>
  <c r="C22" i="8" s="1"/>
  <c r="C74" i="9" l="1"/>
  <c r="B88" i="9"/>
  <c r="B41" i="8" s="1"/>
  <c r="Z70" i="9"/>
  <c r="B82" i="9"/>
  <c r="Z41" i="7"/>
  <c r="B45" i="7"/>
  <c r="B16" i="9"/>
  <c r="Z4" i="9"/>
  <c r="Z5" i="7"/>
  <c r="B9" i="7"/>
  <c r="B22" i="9"/>
  <c r="B5" i="8" s="1"/>
  <c r="C8" i="9"/>
  <c r="C41" i="9"/>
  <c r="B55" i="9"/>
  <c r="B23" i="8" s="1"/>
  <c r="Z23" i="7"/>
  <c r="B27" i="7"/>
  <c r="Z37" i="9"/>
  <c r="B49" i="9"/>
  <c r="Z56" i="9"/>
  <c r="Y22" i="8"/>
  <c r="Z22" i="8" s="1"/>
  <c r="Z30" i="6"/>
  <c r="Y89" i="9"/>
  <c r="Y23" i="9"/>
  <c r="Z6" i="6"/>
  <c r="C75" i="9" l="1"/>
  <c r="C76" i="9" s="1"/>
  <c r="B83" i="9"/>
  <c r="Z45" i="7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 s="1"/>
  <c r="B17" i="9"/>
  <c r="Z9" i="7"/>
  <c r="E10" i="8"/>
  <c r="H10" i="8"/>
  <c r="L10" i="8"/>
  <c r="P10" i="8"/>
  <c r="T10" i="8"/>
  <c r="Y10" i="8"/>
  <c r="Z10" i="8" s="1"/>
  <c r="D10" i="8"/>
  <c r="K10" i="8"/>
  <c r="O10" i="8"/>
  <c r="Q10" i="8"/>
  <c r="W10" i="8"/>
  <c r="C10" i="8"/>
  <c r="G10" i="8"/>
  <c r="J10" i="8"/>
  <c r="M10" i="8"/>
  <c r="R10" i="8"/>
  <c r="V10" i="8"/>
  <c r="U10" i="8"/>
  <c r="B10" i="8"/>
  <c r="F10" i="8"/>
  <c r="I10" i="8"/>
  <c r="N10" i="8"/>
  <c r="S10" i="8"/>
  <c r="X10" i="8"/>
  <c r="C9" i="9"/>
  <c r="C10" i="9" s="1"/>
  <c r="C42" i="9"/>
  <c r="C43" i="9"/>
  <c r="Z27" i="7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 s="1"/>
  <c r="B50" i="9"/>
  <c r="Z89" i="9"/>
  <c r="Y40" i="8"/>
  <c r="Z40" i="8" s="1"/>
  <c r="Z23" i="9"/>
  <c r="Y4" i="8"/>
  <c r="Z4" i="8" s="1"/>
  <c r="C77" i="9" l="1"/>
  <c r="C88" i="9"/>
  <c r="C41" i="8" s="1"/>
  <c r="D74" i="9"/>
  <c r="C69" i="9"/>
  <c r="C3" i="9"/>
  <c r="C22" i="9"/>
  <c r="C5" i="8" s="1"/>
  <c r="D8" i="9"/>
  <c r="C11" i="9"/>
  <c r="C44" i="9"/>
  <c r="C55" i="9"/>
  <c r="C23" i="8" s="1"/>
  <c r="D41" i="9"/>
  <c r="C36" i="9"/>
  <c r="C91" i="9" l="1"/>
  <c r="C81" i="9"/>
  <c r="D75" i="9"/>
  <c r="D76" i="9" s="1"/>
  <c r="D9" i="9"/>
  <c r="D10" i="9" s="1"/>
  <c r="C25" i="9"/>
  <c r="C15" i="9"/>
  <c r="C58" i="9"/>
  <c r="C48" i="9"/>
  <c r="D42" i="9"/>
  <c r="D43" i="9"/>
  <c r="C82" i="9" l="1"/>
  <c r="D77" i="9"/>
  <c r="D88" i="9"/>
  <c r="D41" i="8" s="1"/>
  <c r="E74" i="9"/>
  <c r="D11" i="9"/>
  <c r="D22" i="9"/>
  <c r="D5" i="8" s="1"/>
  <c r="E8" i="9"/>
  <c r="C16" i="9"/>
  <c r="C49" i="9"/>
  <c r="D44" i="9"/>
  <c r="D55" i="9"/>
  <c r="D23" i="8" s="1"/>
  <c r="E41" i="9"/>
  <c r="C83" i="9" l="1"/>
  <c r="D91" i="9"/>
  <c r="D81" i="9"/>
  <c r="E75" i="9"/>
  <c r="E76" i="9" s="1"/>
  <c r="D25" i="9"/>
  <c r="D15" i="9"/>
  <c r="E9" i="9"/>
  <c r="E10" i="9" s="1"/>
  <c r="C17" i="9"/>
  <c r="C50" i="9"/>
  <c r="D58" i="9"/>
  <c r="D48" i="9"/>
  <c r="E42" i="9"/>
  <c r="E43" i="9" s="1"/>
  <c r="D69" i="9" l="1"/>
  <c r="D82" i="9"/>
  <c r="E77" i="9"/>
  <c r="E88" i="9"/>
  <c r="E41" i="8" s="1"/>
  <c r="F74" i="9"/>
  <c r="D16" i="9"/>
  <c r="E11" i="9"/>
  <c r="F8" i="9"/>
  <c r="E22" i="9"/>
  <c r="E5" i="8" s="1"/>
  <c r="D3" i="9"/>
  <c r="D36" i="9"/>
  <c r="D49" i="9"/>
  <c r="E44" i="9"/>
  <c r="E55" i="9"/>
  <c r="E23" i="8" s="1"/>
  <c r="F41" i="9"/>
  <c r="D17" i="9" l="1"/>
  <c r="E3" i="9" s="1"/>
  <c r="D83" i="9"/>
  <c r="E69" i="9" s="1"/>
  <c r="E91" i="9"/>
  <c r="E81" i="9"/>
  <c r="F75" i="9"/>
  <c r="F76" i="9" s="1"/>
  <c r="E25" i="9"/>
  <c r="E15" i="9"/>
  <c r="F9" i="9"/>
  <c r="F10" i="9" s="1"/>
  <c r="E58" i="9"/>
  <c r="E48" i="9"/>
  <c r="F42" i="9"/>
  <c r="F43" i="9" s="1"/>
  <c r="D50" i="9"/>
  <c r="E82" i="9" l="1"/>
  <c r="F77" i="9"/>
  <c r="F88" i="9"/>
  <c r="F41" i="8" s="1"/>
  <c r="G74" i="9"/>
  <c r="E16" i="9"/>
  <c r="F11" i="9"/>
  <c r="F22" i="9"/>
  <c r="F5" i="8" s="1"/>
  <c r="G8" i="9"/>
  <c r="E49" i="9"/>
  <c r="F44" i="9"/>
  <c r="F55" i="9"/>
  <c r="F23" i="8" s="1"/>
  <c r="G41" i="9"/>
  <c r="E36" i="9"/>
  <c r="E50" i="9" l="1"/>
  <c r="F36" i="9" s="1"/>
  <c r="E83" i="9"/>
  <c r="F91" i="9"/>
  <c r="F81" i="9"/>
  <c r="G75" i="9"/>
  <c r="G76" i="9"/>
  <c r="E17" i="9"/>
  <c r="F25" i="9"/>
  <c r="F15" i="9"/>
  <c r="G9" i="9"/>
  <c r="G10" i="9" s="1"/>
  <c r="F58" i="9"/>
  <c r="F48" i="9"/>
  <c r="G42" i="9"/>
  <c r="G43" i="9" s="1"/>
  <c r="F69" i="9" l="1"/>
  <c r="F82" i="9"/>
  <c r="G77" i="9"/>
  <c r="G88" i="9"/>
  <c r="G41" i="8" s="1"/>
  <c r="H74" i="9"/>
  <c r="F3" i="9"/>
  <c r="F16" i="9"/>
  <c r="H8" i="9"/>
  <c r="G22" i="9"/>
  <c r="G5" i="8" s="1"/>
  <c r="G11" i="9"/>
  <c r="F49" i="9"/>
  <c r="G44" i="9"/>
  <c r="G55" i="9"/>
  <c r="G23" i="8" s="1"/>
  <c r="H41" i="9"/>
  <c r="G91" i="9" l="1"/>
  <c r="G81" i="9"/>
  <c r="H75" i="9"/>
  <c r="H76" i="9"/>
  <c r="H9" i="9"/>
  <c r="H10" i="9" s="1"/>
  <c r="G25" i="9"/>
  <c r="G15" i="9"/>
  <c r="F50" i="9"/>
  <c r="G36" i="9" s="1"/>
  <c r="G58" i="9"/>
  <c r="G48" i="9"/>
  <c r="H42" i="9"/>
  <c r="H43" i="9"/>
  <c r="F83" i="9"/>
  <c r="G69" i="9" s="1"/>
  <c r="F17" i="9"/>
  <c r="G82" i="9" l="1"/>
  <c r="H77" i="9"/>
  <c r="H88" i="9"/>
  <c r="H41" i="8" s="1"/>
  <c r="I74" i="9"/>
  <c r="H22" i="9"/>
  <c r="H5" i="8" s="1"/>
  <c r="I8" i="9"/>
  <c r="H11" i="9"/>
  <c r="G16" i="9"/>
  <c r="G49" i="9"/>
  <c r="H44" i="9"/>
  <c r="H55" i="9"/>
  <c r="H23" i="8" s="1"/>
  <c r="I41" i="9"/>
  <c r="G3" i="9"/>
  <c r="G83" i="9" l="1"/>
  <c r="H69" i="9" s="1"/>
  <c r="H91" i="9"/>
  <c r="H81" i="9"/>
  <c r="I75" i="9"/>
  <c r="I76" i="9" s="1"/>
  <c r="I9" i="9"/>
  <c r="I10" i="9" s="1"/>
  <c r="H25" i="9"/>
  <c r="H15" i="9"/>
  <c r="G50" i="9"/>
  <c r="H36" i="9" s="1"/>
  <c r="H58" i="9"/>
  <c r="H48" i="9"/>
  <c r="I42" i="9"/>
  <c r="I43" i="9" s="1"/>
  <c r="G17" i="9"/>
  <c r="H3" i="9" s="1"/>
  <c r="H82" i="9" l="1"/>
  <c r="I77" i="9"/>
  <c r="I88" i="9"/>
  <c r="I41" i="8" s="1"/>
  <c r="J74" i="9"/>
  <c r="I22" i="9"/>
  <c r="I5" i="8" s="1"/>
  <c r="J8" i="9"/>
  <c r="I11" i="9"/>
  <c r="H16" i="9"/>
  <c r="H49" i="9"/>
  <c r="I44" i="9"/>
  <c r="I55" i="9"/>
  <c r="I23" i="8" s="1"/>
  <c r="J41" i="9"/>
  <c r="H83" i="9" l="1"/>
  <c r="I69" i="9" s="1"/>
  <c r="I91" i="9"/>
  <c r="I81" i="9"/>
  <c r="J75" i="9"/>
  <c r="J76" i="9" s="1"/>
  <c r="J9" i="9"/>
  <c r="J10" i="9"/>
  <c r="I25" i="9"/>
  <c r="I15" i="9"/>
  <c r="H17" i="9"/>
  <c r="I3" i="9" s="1"/>
  <c r="H50" i="9"/>
  <c r="I36" i="9" s="1"/>
  <c r="I58" i="9"/>
  <c r="I48" i="9"/>
  <c r="J42" i="9"/>
  <c r="J43" i="9" s="1"/>
  <c r="I82" i="9" l="1"/>
  <c r="J77" i="9"/>
  <c r="J88" i="9"/>
  <c r="J41" i="8" s="1"/>
  <c r="K74" i="9"/>
  <c r="J11" i="9"/>
  <c r="K8" i="9"/>
  <c r="J22" i="9"/>
  <c r="J5" i="8" s="1"/>
  <c r="I16" i="9"/>
  <c r="I49" i="9"/>
  <c r="J44" i="9"/>
  <c r="J55" i="9"/>
  <c r="J23" i="8" s="1"/>
  <c r="K41" i="9"/>
  <c r="I83" i="9" l="1"/>
  <c r="J69" i="9" s="1"/>
  <c r="J91" i="9"/>
  <c r="J81" i="9"/>
  <c r="K75" i="9"/>
  <c r="K76" i="9"/>
  <c r="J25" i="9"/>
  <c r="J15" i="9"/>
  <c r="K9" i="9"/>
  <c r="K10" i="9" s="1"/>
  <c r="I17" i="9"/>
  <c r="J3" i="9" s="1"/>
  <c r="I50" i="9"/>
  <c r="J36" i="9" s="1"/>
  <c r="J58" i="9"/>
  <c r="J48" i="9"/>
  <c r="K42" i="9"/>
  <c r="K43" i="9" s="1"/>
  <c r="J82" i="9" l="1"/>
  <c r="K77" i="9"/>
  <c r="K88" i="9"/>
  <c r="K41" i="8" s="1"/>
  <c r="L74" i="9"/>
  <c r="J16" i="9"/>
  <c r="K22" i="9"/>
  <c r="K5" i="8" s="1"/>
  <c r="L8" i="9"/>
  <c r="K11" i="9"/>
  <c r="J49" i="9"/>
  <c r="K44" i="9"/>
  <c r="K55" i="9"/>
  <c r="K23" i="8" s="1"/>
  <c r="L41" i="9"/>
  <c r="J83" i="9" l="1"/>
  <c r="K69" i="9" s="1"/>
  <c r="K91" i="9"/>
  <c r="K81" i="9"/>
  <c r="L75" i="9"/>
  <c r="L76" i="9" s="1"/>
  <c r="J17" i="9"/>
  <c r="K3" i="9" s="1"/>
  <c r="L9" i="9"/>
  <c r="L10" i="9"/>
  <c r="K25" i="9"/>
  <c r="K15" i="9"/>
  <c r="J50" i="9"/>
  <c r="K36" i="9" s="1"/>
  <c r="K58" i="9"/>
  <c r="K48" i="9"/>
  <c r="L42" i="9"/>
  <c r="L43" i="9" s="1"/>
  <c r="K82" i="9" l="1"/>
  <c r="L77" i="9"/>
  <c r="L88" i="9"/>
  <c r="L41" i="8" s="1"/>
  <c r="M74" i="9"/>
  <c r="L11" i="9"/>
  <c r="L22" i="9"/>
  <c r="L5" i="8" s="1"/>
  <c r="M8" i="9"/>
  <c r="K16" i="9"/>
  <c r="K49" i="9"/>
  <c r="L44" i="9"/>
  <c r="L55" i="9"/>
  <c r="L23" i="8" s="1"/>
  <c r="M41" i="9"/>
  <c r="K83" i="9" l="1"/>
  <c r="L69" i="9" s="1"/>
  <c r="L91" i="9"/>
  <c r="L81" i="9"/>
  <c r="M75" i="9"/>
  <c r="M76" i="9" s="1"/>
  <c r="L25" i="9"/>
  <c r="L15" i="9"/>
  <c r="M9" i="9"/>
  <c r="M10" i="9" s="1"/>
  <c r="K17" i="9"/>
  <c r="L3" i="9" s="1"/>
  <c r="K50" i="9"/>
  <c r="L36" i="9" s="1"/>
  <c r="L58" i="9"/>
  <c r="L48" i="9"/>
  <c r="M42" i="9"/>
  <c r="M43" i="9" s="1"/>
  <c r="L82" i="9" l="1"/>
  <c r="M77" i="9"/>
  <c r="M88" i="9"/>
  <c r="M41" i="8" s="1"/>
  <c r="N74" i="9"/>
  <c r="L16" i="9"/>
  <c r="M11" i="9"/>
  <c r="M22" i="9"/>
  <c r="M5" i="8" s="1"/>
  <c r="N8" i="9"/>
  <c r="L49" i="9"/>
  <c r="M44" i="9"/>
  <c r="M55" i="9"/>
  <c r="M23" i="8" s="1"/>
  <c r="N41" i="9"/>
  <c r="L83" i="9" l="1"/>
  <c r="M69" i="9" s="1"/>
  <c r="M91" i="9"/>
  <c r="M81" i="9"/>
  <c r="N75" i="9"/>
  <c r="N76" i="9" s="1"/>
  <c r="L17" i="9"/>
  <c r="M3" i="9" s="1"/>
  <c r="M25" i="9"/>
  <c r="M15" i="9"/>
  <c r="N9" i="9"/>
  <c r="N10" i="9" s="1"/>
  <c r="L50" i="9"/>
  <c r="M36" i="9" s="1"/>
  <c r="M58" i="9"/>
  <c r="M48" i="9"/>
  <c r="N42" i="9"/>
  <c r="N43" i="9" s="1"/>
  <c r="M82" i="9" l="1"/>
  <c r="N77" i="9"/>
  <c r="N88" i="9"/>
  <c r="N41" i="8" s="1"/>
  <c r="O74" i="9"/>
  <c r="M16" i="9"/>
  <c r="N11" i="9"/>
  <c r="N22" i="9"/>
  <c r="N5" i="8" s="1"/>
  <c r="O8" i="9"/>
  <c r="M49" i="9"/>
  <c r="N44" i="9"/>
  <c r="N55" i="9"/>
  <c r="N23" i="8" s="1"/>
  <c r="O41" i="9"/>
  <c r="M83" i="9" l="1"/>
  <c r="N69" i="9" s="1"/>
  <c r="N91" i="9"/>
  <c r="N81" i="9"/>
  <c r="O75" i="9"/>
  <c r="O76" i="9" s="1"/>
  <c r="M17" i="9"/>
  <c r="N3" i="9" s="1"/>
  <c r="N25" i="9"/>
  <c r="N15" i="9"/>
  <c r="O9" i="9"/>
  <c r="O10" i="9" s="1"/>
  <c r="M50" i="9"/>
  <c r="N36" i="9" s="1"/>
  <c r="N58" i="9"/>
  <c r="N48" i="9"/>
  <c r="O42" i="9"/>
  <c r="O43" i="9"/>
  <c r="N82" i="9" l="1"/>
  <c r="O77" i="9"/>
  <c r="O88" i="9"/>
  <c r="O41" i="8" s="1"/>
  <c r="P74" i="9"/>
  <c r="N16" i="9"/>
  <c r="O11" i="9"/>
  <c r="P8" i="9"/>
  <c r="O22" i="9"/>
  <c r="O5" i="8" s="1"/>
  <c r="N49" i="9"/>
  <c r="O44" i="9"/>
  <c r="O55" i="9"/>
  <c r="O23" i="8" s="1"/>
  <c r="P41" i="9"/>
  <c r="N83" i="9" l="1"/>
  <c r="O69" i="9" s="1"/>
  <c r="O91" i="9"/>
  <c r="O81" i="9"/>
  <c r="P75" i="9"/>
  <c r="P76" i="9" s="1"/>
  <c r="N17" i="9"/>
  <c r="O3" i="9" s="1"/>
  <c r="O25" i="9"/>
  <c r="O15" i="9"/>
  <c r="P9" i="9"/>
  <c r="P10" i="9" s="1"/>
  <c r="N50" i="9"/>
  <c r="O36" i="9" s="1"/>
  <c r="O58" i="9"/>
  <c r="O48" i="9"/>
  <c r="P42" i="9"/>
  <c r="P43" i="9" s="1"/>
  <c r="O82" i="9" l="1"/>
  <c r="P77" i="9"/>
  <c r="P88" i="9"/>
  <c r="P41" i="8" s="1"/>
  <c r="Q74" i="9"/>
  <c r="O16" i="9"/>
  <c r="P11" i="9"/>
  <c r="P22" i="9"/>
  <c r="P5" i="8" s="1"/>
  <c r="Q8" i="9"/>
  <c r="O49" i="9"/>
  <c r="P44" i="9"/>
  <c r="P55" i="9"/>
  <c r="P23" i="8" s="1"/>
  <c r="Q41" i="9"/>
  <c r="O83" i="9" l="1"/>
  <c r="P69" i="9" s="1"/>
  <c r="P91" i="9"/>
  <c r="P81" i="9"/>
  <c r="Q75" i="9"/>
  <c r="Q76" i="9" s="1"/>
  <c r="O17" i="9"/>
  <c r="P3" i="9" s="1"/>
  <c r="P25" i="9"/>
  <c r="P15" i="9"/>
  <c r="Q9" i="9"/>
  <c r="Q10" i="9" s="1"/>
  <c r="O50" i="9"/>
  <c r="P36" i="9" s="1"/>
  <c r="P58" i="9"/>
  <c r="P48" i="9"/>
  <c r="Q42" i="9"/>
  <c r="Q43" i="9" s="1"/>
  <c r="P82" i="9" l="1"/>
  <c r="Q77" i="9"/>
  <c r="Q88" i="9"/>
  <c r="Q41" i="8" s="1"/>
  <c r="R74" i="9"/>
  <c r="P16" i="9"/>
  <c r="Q22" i="9"/>
  <c r="Q5" i="8" s="1"/>
  <c r="R8" i="9"/>
  <c r="Q11" i="9"/>
  <c r="P49" i="9"/>
  <c r="Q44" i="9"/>
  <c r="Q55" i="9"/>
  <c r="Q23" i="8" s="1"/>
  <c r="R41" i="9"/>
  <c r="P83" i="9" l="1"/>
  <c r="Q69" i="9" s="1"/>
  <c r="Q91" i="9"/>
  <c r="Q81" i="9"/>
  <c r="R75" i="9"/>
  <c r="R76" i="9"/>
  <c r="P17" i="9"/>
  <c r="Q3" i="9" s="1"/>
  <c r="R9" i="9"/>
  <c r="R10" i="9"/>
  <c r="Q25" i="9"/>
  <c r="Q15" i="9"/>
  <c r="P50" i="9"/>
  <c r="Q36" i="9" s="1"/>
  <c r="Q58" i="9"/>
  <c r="Q48" i="9"/>
  <c r="R42" i="9"/>
  <c r="R43" i="9" s="1"/>
  <c r="Q82" i="9" l="1"/>
  <c r="R77" i="9"/>
  <c r="R88" i="9"/>
  <c r="R41" i="8" s="1"/>
  <c r="S74" i="9"/>
  <c r="R11" i="9"/>
  <c r="R22" i="9"/>
  <c r="R5" i="8" s="1"/>
  <c r="S8" i="9"/>
  <c r="Q16" i="9"/>
  <c r="Q49" i="9"/>
  <c r="R44" i="9"/>
  <c r="R55" i="9"/>
  <c r="R23" i="8" s="1"/>
  <c r="S41" i="9"/>
  <c r="Q83" i="9" l="1"/>
  <c r="R69" i="9" s="1"/>
  <c r="R91" i="9"/>
  <c r="R81" i="9"/>
  <c r="S75" i="9"/>
  <c r="S76" i="9" s="1"/>
  <c r="R25" i="9"/>
  <c r="R15" i="9"/>
  <c r="S9" i="9"/>
  <c r="S10" i="9" s="1"/>
  <c r="Q17" i="9"/>
  <c r="R3" i="9" s="1"/>
  <c r="Q50" i="9"/>
  <c r="R36" i="9" s="1"/>
  <c r="R58" i="9"/>
  <c r="R48" i="9"/>
  <c r="S42" i="9"/>
  <c r="S43" i="9" s="1"/>
  <c r="R82" i="9" l="1"/>
  <c r="S77" i="9"/>
  <c r="S88" i="9"/>
  <c r="S41" i="8" s="1"/>
  <c r="T74" i="9"/>
  <c r="R16" i="9"/>
  <c r="S11" i="9"/>
  <c r="T8" i="9"/>
  <c r="S22" i="9"/>
  <c r="S5" i="8" s="1"/>
  <c r="R49" i="9"/>
  <c r="S44" i="9"/>
  <c r="S55" i="9"/>
  <c r="S23" i="8" s="1"/>
  <c r="T41" i="9"/>
  <c r="R83" i="9" l="1"/>
  <c r="S69" i="9" s="1"/>
  <c r="S91" i="9"/>
  <c r="S81" i="9"/>
  <c r="T75" i="9"/>
  <c r="T76" i="9"/>
  <c r="R17" i="9"/>
  <c r="S3" i="9" s="1"/>
  <c r="S25" i="9"/>
  <c r="S15" i="9"/>
  <c r="T9" i="9"/>
  <c r="T10" i="9" s="1"/>
  <c r="R50" i="9"/>
  <c r="S36" i="9" s="1"/>
  <c r="S58" i="9"/>
  <c r="S48" i="9"/>
  <c r="T42" i="9"/>
  <c r="T43" i="9"/>
  <c r="S82" i="9" l="1"/>
  <c r="T77" i="9"/>
  <c r="T88" i="9"/>
  <c r="T41" i="8" s="1"/>
  <c r="U74" i="9"/>
  <c r="S16" i="9"/>
  <c r="T22" i="9"/>
  <c r="T5" i="8" s="1"/>
  <c r="U8" i="9"/>
  <c r="T11" i="9"/>
  <c r="S49" i="9"/>
  <c r="T44" i="9"/>
  <c r="T55" i="9"/>
  <c r="T23" i="8" s="1"/>
  <c r="U41" i="9"/>
  <c r="S83" i="9" l="1"/>
  <c r="T69" i="9" s="1"/>
  <c r="T91" i="9"/>
  <c r="T81" i="9"/>
  <c r="U75" i="9"/>
  <c r="U76" i="9"/>
  <c r="S17" i="9"/>
  <c r="T3" i="9" s="1"/>
  <c r="U9" i="9"/>
  <c r="U10" i="9" s="1"/>
  <c r="T25" i="9"/>
  <c r="T15" i="9"/>
  <c r="S50" i="9"/>
  <c r="T36" i="9" s="1"/>
  <c r="T58" i="9"/>
  <c r="T48" i="9"/>
  <c r="U42" i="9"/>
  <c r="U43" i="9"/>
  <c r="T82" i="9" l="1"/>
  <c r="U77" i="9"/>
  <c r="U88" i="9"/>
  <c r="U41" i="8" s="1"/>
  <c r="V74" i="9"/>
  <c r="V8" i="9"/>
  <c r="U22" i="9"/>
  <c r="U5" i="8" s="1"/>
  <c r="U11" i="9"/>
  <c r="T16" i="9"/>
  <c r="T49" i="9"/>
  <c r="U44" i="9"/>
  <c r="U55" i="9"/>
  <c r="U23" i="8" s="1"/>
  <c r="V41" i="9"/>
  <c r="T83" i="9" l="1"/>
  <c r="U69" i="9" s="1"/>
  <c r="U91" i="9"/>
  <c r="U81" i="9"/>
  <c r="V75" i="9"/>
  <c r="V76" i="9" s="1"/>
  <c r="V9" i="9"/>
  <c r="V10" i="9" s="1"/>
  <c r="U25" i="9"/>
  <c r="U15" i="9"/>
  <c r="T17" i="9"/>
  <c r="U3" i="9" s="1"/>
  <c r="T50" i="9"/>
  <c r="U36" i="9" s="1"/>
  <c r="U58" i="9"/>
  <c r="U48" i="9"/>
  <c r="V42" i="9"/>
  <c r="V43" i="9" s="1"/>
  <c r="U82" i="9" l="1"/>
  <c r="V77" i="9"/>
  <c r="V88" i="9"/>
  <c r="V41" i="8" s="1"/>
  <c r="W74" i="9"/>
  <c r="V11" i="9"/>
  <c r="V22" i="9"/>
  <c r="V5" i="8" s="1"/>
  <c r="W8" i="9"/>
  <c r="U16" i="9"/>
  <c r="U49" i="9"/>
  <c r="V44" i="9"/>
  <c r="V55" i="9"/>
  <c r="V23" i="8" s="1"/>
  <c r="W41" i="9"/>
  <c r="U83" i="9" l="1"/>
  <c r="V69" i="9" s="1"/>
  <c r="V91" i="9"/>
  <c r="V81" i="9"/>
  <c r="W75" i="9"/>
  <c r="W76" i="9" s="1"/>
  <c r="V25" i="9"/>
  <c r="V15" i="9"/>
  <c r="W9" i="9"/>
  <c r="W10" i="9" s="1"/>
  <c r="U17" i="9"/>
  <c r="V3" i="9" s="1"/>
  <c r="U50" i="9"/>
  <c r="V36" i="9" s="1"/>
  <c r="V58" i="9"/>
  <c r="V48" i="9"/>
  <c r="W42" i="9"/>
  <c r="W43" i="9"/>
  <c r="V82" i="9" l="1"/>
  <c r="W77" i="9"/>
  <c r="W88" i="9"/>
  <c r="W41" i="8" s="1"/>
  <c r="X74" i="9"/>
  <c r="V16" i="9"/>
  <c r="W11" i="9"/>
  <c r="W22" i="9"/>
  <c r="W5" i="8" s="1"/>
  <c r="X8" i="9"/>
  <c r="V49" i="9"/>
  <c r="W44" i="9"/>
  <c r="W55" i="9"/>
  <c r="W23" i="8" s="1"/>
  <c r="X41" i="9"/>
  <c r="V83" i="9" l="1"/>
  <c r="W69" i="9" s="1"/>
  <c r="W91" i="9"/>
  <c r="W81" i="9"/>
  <c r="X75" i="9"/>
  <c r="X76" i="9" s="1"/>
  <c r="V17" i="9"/>
  <c r="W3" i="9" s="1"/>
  <c r="W25" i="9"/>
  <c r="W15" i="9"/>
  <c r="X9" i="9"/>
  <c r="X10" i="9" s="1"/>
  <c r="V50" i="9"/>
  <c r="W36" i="9" s="1"/>
  <c r="W58" i="9"/>
  <c r="W48" i="9"/>
  <c r="X42" i="9"/>
  <c r="X43" i="9" s="1"/>
  <c r="W82" i="9" l="1"/>
  <c r="X77" i="9"/>
  <c r="X88" i="9"/>
  <c r="X41" i="8" s="1"/>
  <c r="Y74" i="9"/>
  <c r="W16" i="9"/>
  <c r="X11" i="9"/>
  <c r="X22" i="9"/>
  <c r="X5" i="8" s="1"/>
  <c r="Y8" i="9"/>
  <c r="W49" i="9"/>
  <c r="X44" i="9"/>
  <c r="X55" i="9"/>
  <c r="X23" i="8" s="1"/>
  <c r="Y41" i="9"/>
  <c r="W83" i="9" l="1"/>
  <c r="X69" i="9" s="1"/>
  <c r="X91" i="9"/>
  <c r="X81" i="9"/>
  <c r="Z74" i="9"/>
  <c r="Y75" i="9"/>
  <c r="Y76" i="9" s="1"/>
  <c r="W17" i="9"/>
  <c r="X3" i="9" s="1"/>
  <c r="X25" i="9"/>
  <c r="X15" i="9"/>
  <c r="Y9" i="9"/>
  <c r="Y10" i="9" s="1"/>
  <c r="Z8" i="9"/>
  <c r="W50" i="9"/>
  <c r="X36" i="9" s="1"/>
  <c r="X58" i="9"/>
  <c r="X48" i="9"/>
  <c r="Z41" i="9"/>
  <c r="Y42" i="9"/>
  <c r="Y43" i="9" s="1"/>
  <c r="X82" i="9" l="1"/>
  <c r="Z75" i="9"/>
  <c r="Y77" i="9"/>
  <c r="Z76" i="9"/>
  <c r="Y88" i="9"/>
  <c r="X16" i="9"/>
  <c r="Z9" i="9"/>
  <c r="Y11" i="9"/>
  <c r="Y22" i="9"/>
  <c r="Z10" i="9"/>
  <c r="X49" i="9"/>
  <c r="Z42" i="9"/>
  <c r="Y44" i="9"/>
  <c r="Z43" i="9"/>
  <c r="Y55" i="9"/>
  <c r="X83" i="9" l="1"/>
  <c r="Y69" i="9" s="1"/>
  <c r="Z77" i="9"/>
  <c r="D11" i="10"/>
  <c r="D15" i="10" s="1"/>
  <c r="Y91" i="9"/>
  <c r="Y81" i="9"/>
  <c r="D16" i="1"/>
  <c r="D22" i="10" s="1"/>
  <c r="Z88" i="9"/>
  <c r="Y41" i="8"/>
  <c r="Z41" i="8" s="1"/>
  <c r="X17" i="9"/>
  <c r="Y3" i="9" s="1"/>
  <c r="Z11" i="9"/>
  <c r="B11" i="10"/>
  <c r="B15" i="10" s="1"/>
  <c r="Y25" i="9"/>
  <c r="Y15" i="9"/>
  <c r="B16" i="1"/>
  <c r="B22" i="10" s="1"/>
  <c r="Z22" i="9"/>
  <c r="Y5" i="8"/>
  <c r="Z5" i="8" s="1"/>
  <c r="X50" i="9"/>
  <c r="Y36" i="9" s="1"/>
  <c r="Z44" i="9"/>
  <c r="C11" i="10"/>
  <c r="C15" i="10" s="1"/>
  <c r="Y58" i="9"/>
  <c r="Y48" i="9"/>
  <c r="Z55" i="9"/>
  <c r="Y23" i="8"/>
  <c r="Z23" i="8" s="1"/>
  <c r="C16" i="1"/>
  <c r="C22" i="10" s="1"/>
  <c r="Z69" i="9" l="1"/>
  <c r="Z91" i="9"/>
  <c r="D6" i="11"/>
  <c r="Z81" i="9"/>
  <c r="D11" i="1"/>
  <c r="Y82" i="9"/>
  <c r="Z3" i="9"/>
  <c r="Z25" i="9"/>
  <c r="B6" i="11"/>
  <c r="Z15" i="9"/>
  <c r="B11" i="1"/>
  <c r="Y16" i="9"/>
  <c r="Z36" i="9"/>
  <c r="Z58" i="9"/>
  <c r="C6" i="11"/>
  <c r="Z48" i="9"/>
  <c r="C11" i="1"/>
  <c r="Y49" i="9"/>
  <c r="Z16" i="9" l="1"/>
  <c r="Y17" i="9"/>
  <c r="Z17" i="9" s="1"/>
  <c r="B22" i="1"/>
  <c r="B14" i="1"/>
  <c r="B18" i="1" s="1"/>
  <c r="Z82" i="9"/>
  <c r="Y83" i="9"/>
  <c r="Z49" i="9"/>
  <c r="Y50" i="9"/>
  <c r="B19" i="1" l="1"/>
  <c r="B26" i="10"/>
  <c r="Z83" i="9"/>
  <c r="D22" i="1"/>
  <c r="D14" i="1"/>
  <c r="D18" i="1" s="1"/>
  <c r="Z50" i="9"/>
  <c r="C14" i="1"/>
  <c r="C18" i="1" s="1"/>
  <c r="C22" i="1"/>
  <c r="B4" i="10" l="1"/>
  <c r="B7" i="10" s="1"/>
  <c r="D9" i="8"/>
  <c r="I9" i="8"/>
  <c r="N9" i="8"/>
  <c r="T9" i="8"/>
  <c r="F9" i="8"/>
  <c r="J9" i="8"/>
  <c r="P9" i="8"/>
  <c r="R9" i="8"/>
  <c r="U9" i="8"/>
  <c r="W9" i="8"/>
  <c r="Y9" i="8"/>
  <c r="Z9" i="8" s="1"/>
  <c r="B18" i="9"/>
  <c r="B9" i="8"/>
  <c r="C9" i="8"/>
  <c r="E9" i="8"/>
  <c r="K9" i="8"/>
  <c r="O9" i="8"/>
  <c r="S9" i="8"/>
  <c r="H9" i="8"/>
  <c r="M9" i="8"/>
  <c r="X9" i="8"/>
  <c r="G9" i="8"/>
  <c r="L9" i="8"/>
  <c r="Q9" i="8"/>
  <c r="V9" i="8"/>
  <c r="B24" i="10"/>
  <c r="B5" i="11"/>
  <c r="D19" i="1"/>
  <c r="D26" i="10"/>
  <c r="C19" i="1"/>
  <c r="C26" i="10"/>
  <c r="B20" i="9" l="1"/>
  <c r="Z18" i="9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 s="1"/>
  <c r="B84" i="9"/>
  <c r="D4" i="10"/>
  <c r="D7" i="10" s="1"/>
  <c r="D24" i="10"/>
  <c r="D5" i="11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 s="1"/>
  <c r="B51" i="9"/>
  <c r="C4" i="10"/>
  <c r="C7" i="10" s="1"/>
  <c r="C24" i="10"/>
  <c r="C5" i="11"/>
  <c r="B3" i="8" l="1"/>
  <c r="B8" i="8" s="1"/>
  <c r="B11" i="8" s="1"/>
  <c r="C19" i="9"/>
  <c r="C20" i="9" s="1"/>
  <c r="B86" i="9"/>
  <c r="Z84" i="9"/>
  <c r="B53" i="9"/>
  <c r="Z51" i="9"/>
  <c r="C3" i="8" l="1"/>
  <c r="C8" i="8" s="1"/>
  <c r="C11" i="8" s="1"/>
  <c r="D19" i="9"/>
  <c r="D20" i="9" s="1"/>
  <c r="C85" i="9"/>
  <c r="C86" i="9" s="1"/>
  <c r="B39" i="8"/>
  <c r="B44" i="8" s="1"/>
  <c r="B47" i="8" s="1"/>
  <c r="B21" i="8"/>
  <c r="B26" i="8" s="1"/>
  <c r="B29" i="8" s="1"/>
  <c r="C52" i="9"/>
  <c r="C53" i="9" s="1"/>
  <c r="D3" i="8" l="1"/>
  <c r="D8" i="8" s="1"/>
  <c r="D11" i="8" s="1"/>
  <c r="E19" i="9"/>
  <c r="E20" i="9" s="1"/>
  <c r="C39" i="8"/>
  <c r="C44" i="8" s="1"/>
  <c r="C47" i="8" s="1"/>
  <c r="D85" i="9"/>
  <c r="D86" i="9" s="1"/>
  <c r="C21" i="8"/>
  <c r="C26" i="8" s="1"/>
  <c r="C29" i="8" s="1"/>
  <c r="D52" i="9"/>
  <c r="D53" i="9" s="1"/>
  <c r="E3" i="8" l="1"/>
  <c r="E8" i="8" s="1"/>
  <c r="E11" i="8" s="1"/>
  <c r="F19" i="9"/>
  <c r="F20" i="9" s="1"/>
  <c r="D39" i="8"/>
  <c r="D44" i="8" s="1"/>
  <c r="D47" i="8" s="1"/>
  <c r="E85" i="9"/>
  <c r="E86" i="9" s="1"/>
  <c r="D21" i="8"/>
  <c r="D26" i="8" s="1"/>
  <c r="D29" i="8" s="1"/>
  <c r="E52" i="9"/>
  <c r="E53" i="9" s="1"/>
  <c r="F3" i="8" l="1"/>
  <c r="F8" i="8" s="1"/>
  <c r="F11" i="8" s="1"/>
  <c r="G19" i="9"/>
  <c r="G20" i="9" s="1"/>
  <c r="E39" i="8"/>
  <c r="E44" i="8" s="1"/>
  <c r="E47" i="8" s="1"/>
  <c r="F85" i="9"/>
  <c r="F86" i="9" s="1"/>
  <c r="E21" i="8"/>
  <c r="E26" i="8" s="1"/>
  <c r="E29" i="8" s="1"/>
  <c r="F52" i="9"/>
  <c r="F53" i="9" s="1"/>
  <c r="G3" i="8" l="1"/>
  <c r="G8" i="8" s="1"/>
  <c r="G11" i="8" s="1"/>
  <c r="H19" i="9"/>
  <c r="H20" i="9" s="1"/>
  <c r="F39" i="8"/>
  <c r="F44" i="8" s="1"/>
  <c r="F47" i="8" s="1"/>
  <c r="G85" i="9"/>
  <c r="G86" i="9" s="1"/>
  <c r="F21" i="8"/>
  <c r="F26" i="8" s="1"/>
  <c r="F29" i="8" s="1"/>
  <c r="G52" i="9"/>
  <c r="G53" i="9" s="1"/>
  <c r="H3" i="8" l="1"/>
  <c r="H8" i="8" s="1"/>
  <c r="H11" i="8" s="1"/>
  <c r="I19" i="9"/>
  <c r="I20" i="9" s="1"/>
  <c r="G39" i="8"/>
  <c r="G44" i="8" s="1"/>
  <c r="G47" i="8" s="1"/>
  <c r="H85" i="9"/>
  <c r="H86" i="9" s="1"/>
  <c r="G21" i="8"/>
  <c r="G26" i="8" s="1"/>
  <c r="G29" i="8" s="1"/>
  <c r="H52" i="9"/>
  <c r="H53" i="9" s="1"/>
  <c r="I3" i="8" l="1"/>
  <c r="I8" i="8" s="1"/>
  <c r="I11" i="8" s="1"/>
  <c r="J19" i="9"/>
  <c r="J20" i="9" s="1"/>
  <c r="H39" i="8"/>
  <c r="H44" i="8" s="1"/>
  <c r="H47" i="8" s="1"/>
  <c r="I85" i="9"/>
  <c r="I86" i="9" s="1"/>
  <c r="H21" i="8"/>
  <c r="H26" i="8" s="1"/>
  <c r="H29" i="8" s="1"/>
  <c r="I52" i="9"/>
  <c r="I53" i="9" s="1"/>
  <c r="J3" i="8" l="1"/>
  <c r="J8" i="8" s="1"/>
  <c r="J11" i="8" s="1"/>
  <c r="K19" i="9"/>
  <c r="K20" i="9" s="1"/>
  <c r="I39" i="8"/>
  <c r="I44" i="8" s="1"/>
  <c r="I47" i="8" s="1"/>
  <c r="J85" i="9"/>
  <c r="J86" i="9" s="1"/>
  <c r="I21" i="8"/>
  <c r="I26" i="8" s="1"/>
  <c r="I29" i="8" s="1"/>
  <c r="J52" i="9"/>
  <c r="J53" i="9" s="1"/>
  <c r="K3" i="8" l="1"/>
  <c r="K8" i="8" s="1"/>
  <c r="K11" i="8" s="1"/>
  <c r="L19" i="9"/>
  <c r="L20" i="9" s="1"/>
  <c r="J39" i="8"/>
  <c r="J44" i="8" s="1"/>
  <c r="J47" i="8" s="1"/>
  <c r="K85" i="9"/>
  <c r="K86" i="9" s="1"/>
  <c r="J21" i="8"/>
  <c r="J26" i="8" s="1"/>
  <c r="J29" i="8" s="1"/>
  <c r="K52" i="9"/>
  <c r="K53" i="9" s="1"/>
  <c r="L3" i="8" l="1"/>
  <c r="L8" i="8" s="1"/>
  <c r="L11" i="8" s="1"/>
  <c r="M19" i="9"/>
  <c r="M20" i="9" s="1"/>
  <c r="K39" i="8"/>
  <c r="K44" i="8" s="1"/>
  <c r="K47" i="8" s="1"/>
  <c r="L85" i="9"/>
  <c r="L86" i="9" s="1"/>
  <c r="K21" i="8"/>
  <c r="K26" i="8" s="1"/>
  <c r="K29" i="8" s="1"/>
  <c r="L52" i="9"/>
  <c r="L53" i="9" s="1"/>
  <c r="M3" i="8" l="1"/>
  <c r="M8" i="8" s="1"/>
  <c r="M11" i="8" s="1"/>
  <c r="N19" i="9"/>
  <c r="N20" i="9" s="1"/>
  <c r="L39" i="8"/>
  <c r="L44" i="8" s="1"/>
  <c r="L47" i="8" s="1"/>
  <c r="M85" i="9"/>
  <c r="M86" i="9" s="1"/>
  <c r="L21" i="8"/>
  <c r="L26" i="8" s="1"/>
  <c r="L29" i="8" s="1"/>
  <c r="M52" i="9"/>
  <c r="M53" i="9" s="1"/>
  <c r="N3" i="8" l="1"/>
  <c r="N8" i="8" s="1"/>
  <c r="N11" i="8" s="1"/>
  <c r="O19" i="9"/>
  <c r="O20" i="9" s="1"/>
  <c r="M39" i="8"/>
  <c r="M44" i="8" s="1"/>
  <c r="M47" i="8" s="1"/>
  <c r="N85" i="9"/>
  <c r="N86" i="9" s="1"/>
  <c r="M21" i="8"/>
  <c r="M26" i="8" s="1"/>
  <c r="M29" i="8" s="1"/>
  <c r="N52" i="9"/>
  <c r="N53" i="9" s="1"/>
  <c r="O3" i="8" l="1"/>
  <c r="O8" i="8" s="1"/>
  <c r="O11" i="8" s="1"/>
  <c r="P19" i="9"/>
  <c r="P20" i="9" s="1"/>
  <c r="N39" i="8"/>
  <c r="N44" i="8" s="1"/>
  <c r="N47" i="8" s="1"/>
  <c r="O85" i="9"/>
  <c r="O86" i="9" s="1"/>
  <c r="N21" i="8"/>
  <c r="N26" i="8" s="1"/>
  <c r="N29" i="8" s="1"/>
  <c r="O52" i="9"/>
  <c r="O53" i="9" s="1"/>
  <c r="P3" i="8" l="1"/>
  <c r="P8" i="8" s="1"/>
  <c r="P11" i="8" s="1"/>
  <c r="Q19" i="9"/>
  <c r="Q20" i="9" s="1"/>
  <c r="O39" i="8"/>
  <c r="O44" i="8" s="1"/>
  <c r="O47" i="8" s="1"/>
  <c r="P85" i="9"/>
  <c r="P86" i="9" s="1"/>
  <c r="O21" i="8"/>
  <c r="O26" i="8" s="1"/>
  <c r="O29" i="8" s="1"/>
  <c r="P52" i="9"/>
  <c r="P53" i="9" s="1"/>
  <c r="Q3" i="8" l="1"/>
  <c r="Q8" i="8" s="1"/>
  <c r="Q11" i="8" s="1"/>
  <c r="R19" i="9"/>
  <c r="R20" i="9" s="1"/>
  <c r="Q85" i="9"/>
  <c r="Q86" i="9" s="1"/>
  <c r="P39" i="8"/>
  <c r="P44" i="8" s="1"/>
  <c r="P47" i="8" s="1"/>
  <c r="P21" i="8"/>
  <c r="P26" i="8" s="1"/>
  <c r="P29" i="8" s="1"/>
  <c r="Q52" i="9"/>
  <c r="Q53" i="9" s="1"/>
  <c r="R3" i="8" l="1"/>
  <c r="R8" i="8" s="1"/>
  <c r="R11" i="8" s="1"/>
  <c r="S19" i="9"/>
  <c r="S20" i="9" s="1"/>
  <c r="Q39" i="8"/>
  <c r="Q44" i="8" s="1"/>
  <c r="Q47" i="8" s="1"/>
  <c r="R85" i="9"/>
  <c r="R86" i="9" s="1"/>
  <c r="Q21" i="8"/>
  <c r="Q26" i="8" s="1"/>
  <c r="Q29" i="8" s="1"/>
  <c r="R52" i="9"/>
  <c r="R53" i="9" s="1"/>
  <c r="S3" i="8" l="1"/>
  <c r="S8" i="8" s="1"/>
  <c r="S11" i="8" s="1"/>
  <c r="T19" i="9"/>
  <c r="T20" i="9" s="1"/>
  <c r="S85" i="9"/>
  <c r="S86" i="9" s="1"/>
  <c r="R39" i="8"/>
  <c r="R44" i="8" s="1"/>
  <c r="R47" i="8" s="1"/>
  <c r="R21" i="8"/>
  <c r="R26" i="8" s="1"/>
  <c r="R29" i="8" s="1"/>
  <c r="S52" i="9"/>
  <c r="S53" i="9" s="1"/>
  <c r="T3" i="8" l="1"/>
  <c r="T8" i="8" s="1"/>
  <c r="T11" i="8" s="1"/>
  <c r="U19" i="9"/>
  <c r="U20" i="9" s="1"/>
  <c r="S39" i="8"/>
  <c r="S44" i="8" s="1"/>
  <c r="S47" i="8" s="1"/>
  <c r="T85" i="9"/>
  <c r="T86" i="9" s="1"/>
  <c r="S21" i="8"/>
  <c r="S26" i="8" s="1"/>
  <c r="S29" i="8" s="1"/>
  <c r="T52" i="9"/>
  <c r="T53" i="9" s="1"/>
  <c r="U3" i="8" l="1"/>
  <c r="U8" i="8" s="1"/>
  <c r="U11" i="8" s="1"/>
  <c r="V19" i="9"/>
  <c r="V20" i="9" s="1"/>
  <c r="T39" i="8"/>
  <c r="T44" i="8" s="1"/>
  <c r="T47" i="8" s="1"/>
  <c r="U85" i="9"/>
  <c r="U86" i="9" s="1"/>
  <c r="T21" i="8"/>
  <c r="T26" i="8" s="1"/>
  <c r="T29" i="8" s="1"/>
  <c r="U52" i="9"/>
  <c r="U53" i="9" s="1"/>
  <c r="V3" i="8" l="1"/>
  <c r="V8" i="8" s="1"/>
  <c r="V11" i="8" s="1"/>
  <c r="W19" i="9"/>
  <c r="W20" i="9" s="1"/>
  <c r="V85" i="9"/>
  <c r="V86" i="9" s="1"/>
  <c r="U39" i="8"/>
  <c r="U44" i="8" s="1"/>
  <c r="U47" i="8" s="1"/>
  <c r="U21" i="8"/>
  <c r="U26" i="8" s="1"/>
  <c r="U29" i="8" s="1"/>
  <c r="V52" i="9"/>
  <c r="V53" i="9" s="1"/>
  <c r="W3" i="8" l="1"/>
  <c r="W8" i="8" s="1"/>
  <c r="W11" i="8" s="1"/>
  <c r="X19" i="9"/>
  <c r="X20" i="9" s="1"/>
  <c r="V39" i="8"/>
  <c r="V44" i="8" s="1"/>
  <c r="V47" i="8" s="1"/>
  <c r="W85" i="9"/>
  <c r="W86" i="9" s="1"/>
  <c r="V21" i="8"/>
  <c r="V26" i="8" s="1"/>
  <c r="V29" i="8" s="1"/>
  <c r="W52" i="9"/>
  <c r="W53" i="9" s="1"/>
  <c r="X3" i="8" l="1"/>
  <c r="X8" i="8" s="1"/>
  <c r="X11" i="8" s="1"/>
  <c r="Y19" i="9"/>
  <c r="X85" i="9"/>
  <c r="X86" i="9" s="1"/>
  <c r="W39" i="8"/>
  <c r="W44" i="8" s="1"/>
  <c r="W47" i="8" s="1"/>
  <c r="W21" i="8"/>
  <c r="W26" i="8" s="1"/>
  <c r="W29" i="8" s="1"/>
  <c r="X52" i="9"/>
  <c r="X53" i="9" s="1"/>
  <c r="Z19" i="9" l="1"/>
  <c r="Y20" i="9"/>
  <c r="X39" i="8"/>
  <c r="X44" i="8" s="1"/>
  <c r="X47" i="8" s="1"/>
  <c r="Y85" i="9"/>
  <c r="X21" i="8"/>
  <c r="X26" i="8" s="1"/>
  <c r="X29" i="8" s="1"/>
  <c r="Y52" i="9"/>
  <c r="Z20" i="9" l="1"/>
  <c r="B20" i="1"/>
  <c r="B17" i="10" s="1"/>
  <c r="B18" i="10" s="1"/>
  <c r="B19" i="10" s="1"/>
  <c r="B4" i="11" s="1"/>
  <c r="Y3" i="8"/>
  <c r="Z85" i="9"/>
  <c r="Y86" i="9"/>
  <c r="Z52" i="9"/>
  <c r="Y53" i="9"/>
  <c r="Z3" i="8" l="1"/>
  <c r="Y8" i="8"/>
  <c r="Z86" i="9"/>
  <c r="Y39" i="8"/>
  <c r="D20" i="1"/>
  <c r="D17" i="10" s="1"/>
  <c r="D18" i="10" s="1"/>
  <c r="D19" i="10" s="1"/>
  <c r="D4" i="11" s="1"/>
  <c r="Z53" i="9"/>
  <c r="C20" i="1"/>
  <c r="C17" i="10" s="1"/>
  <c r="C18" i="10" s="1"/>
  <c r="C19" i="10" s="1"/>
  <c r="C4" i="11" s="1"/>
  <c r="Y21" i="8"/>
  <c r="Y11" i="8" l="1"/>
  <c r="Z8" i="8"/>
  <c r="Z39" i="8"/>
  <c r="Y44" i="8"/>
  <c r="Y26" i="8"/>
  <c r="Z21" i="8"/>
  <c r="B7" i="11" l="1"/>
  <c r="B8" i="11" s="1"/>
  <c r="Z11" i="8"/>
  <c r="Z44" i="8"/>
  <c r="Y47" i="8"/>
  <c r="Z26" i="8"/>
  <c r="Y29" i="8"/>
  <c r="D7" i="11" l="1"/>
  <c r="D8" i="11" s="1"/>
  <c r="Z47" i="8"/>
  <c r="C7" i="11"/>
  <c r="C8" i="11" s="1"/>
  <c r="Z29" i="8"/>
</calcChain>
</file>

<file path=xl/sharedStrings.xml><?xml version="1.0" encoding="utf-8"?>
<sst xmlns="http://schemas.openxmlformats.org/spreadsheetml/2006/main" count="477" uniqueCount="260">
  <si>
    <t>Blocky Studio｜24个月持续发展资金规划｜人民币</t>
  </si>
  <si>
    <t>建设目标：个人开源、教育组织后台、多端、Agent App与社区；未报价参数均是规划假设。</t>
  </si>
  <si>
    <t>精简推进</t>
  </si>
  <si>
    <t>基准建设</t>
  </si>
  <si>
    <t>高用量压力</t>
  </si>
  <si>
    <t>期末平台云算力活跃人头</t>
  </si>
  <si>
    <t>用户Token采购（24月）</t>
  </si>
  <si>
    <t>研发工具与内部算力</t>
  </si>
  <si>
    <t>等效人力综合现金</t>
  </si>
  <si>
    <t>其他常规与专项运营</t>
  </si>
  <si>
    <t>设备现金</t>
  </si>
  <si>
    <t>24个月现金支付总额</t>
  </si>
  <si>
    <t>规划收款（默认不抵减）</t>
  </si>
  <si>
    <t>确认自有现金（未录入）</t>
  </si>
  <si>
    <t>峰值现金缺口</t>
  </si>
  <si>
    <t>常规支出风险预留</t>
  </si>
  <si>
    <t>未使用厂商合作现金预留</t>
  </si>
  <si>
    <t>正常运营现金储备</t>
  </si>
  <si>
    <t>最低追加资金需求</t>
  </si>
  <si>
    <t>建议资金规划目标（取整）</t>
  </si>
  <si>
    <t>假设足额补资的期末现金</t>
  </si>
  <si>
    <t>期末单月用户Token成本</t>
  </si>
  <si>
    <t>峰值缺口月份</t>
  </si>
  <si>
    <t>默认成本回收率0：只表示未确认收入不用于压低资金，不能解释为实际商业收入为零。</t>
  </si>
  <si>
    <t>厂商费用0表示未录入；现金预留是风险预算，获得报价后更新费、预付和保证金。</t>
  </si>
  <si>
    <t>精简与高用量同时改变人力、人数和成本，是资源情景；新增用量须有额度与回款支持。</t>
  </si>
  <si>
    <t>人民币；蓝色为可调输入，全部未证实金额与规模是规划假设</t>
  </si>
  <si>
    <t>规划月数</t>
  </si>
  <si>
    <t>起始月份（假设）</t>
  </si>
  <si>
    <t>已确认自有现金（未录入为0）</t>
  </si>
  <si>
    <t>算力成本回收比例（非套餐价）</t>
  </si>
  <si>
    <t>收款延迟月数</t>
  </si>
  <si>
    <t>非退还合作费（报价未录入）</t>
  </si>
  <si>
    <t>可抵扣算力预付（报价未录入）</t>
  </si>
  <si>
    <t>可退保证金（报价未录入）</t>
  </si>
  <si>
    <t>厂商款支付月份</t>
  </si>
  <si>
    <t>设备折旧月数</t>
  </si>
  <si>
    <t>资金目标取整步长（元）</t>
  </si>
  <si>
    <t>费用与人数均是条件预算；厂商条款、实际自有资金及算力售价未确认。0表示未录入；真实场景在产品准备关口后，未确认收入不抵减资金。</t>
  </si>
  <si>
    <t>前6月等效人力</t>
  </si>
  <si>
    <t>后18月等效人力</t>
  </si>
  <si>
    <t>综合人月成本（元）</t>
  </si>
  <si>
    <t>平台云用户规模倍率</t>
  </si>
  <si>
    <t>人均算力成本倍率</t>
  </si>
  <si>
    <t>其他建设成本倍率</t>
  </si>
  <si>
    <t>厂商合作现金预留（元）</t>
  </si>
  <si>
    <t>常规支出风险预留比例</t>
  </si>
  <si>
    <t>期末正常运营储备月数</t>
  </si>
  <si>
    <t>学生短任务参考月成本</t>
  </si>
  <si>
    <t>教师短任务参考月成本</t>
  </si>
  <si>
    <t>专业云创作者参考月成本</t>
  </si>
  <si>
    <t>研发等效人力月度Agent预算</t>
  </si>
  <si>
    <t>基础设施前6月/月</t>
  </si>
  <si>
    <t>基础设施第7至12月/月</t>
  </si>
  <si>
    <t>基础设施后12月/月</t>
  </si>
  <si>
    <t>教学共创前3月/月</t>
  </si>
  <si>
    <t>教学共创第4至12月/月</t>
  </si>
  <si>
    <t>教学共创后12月/月</t>
  </si>
  <si>
    <t>社区前3月/月</t>
  </si>
  <si>
    <t>社区第4至12月/月</t>
  </si>
  <si>
    <t>社区后12月/月</t>
  </si>
  <si>
    <t>一般运营/月</t>
  </si>
  <si>
    <t>月序</t>
  </si>
  <si>
    <t>学生云活跃人数</t>
  </si>
  <si>
    <t>教师云活跃人数</t>
  </si>
  <si>
    <t>个人云活跃人数</t>
  </si>
  <si>
    <t>专项外部交付月份</t>
  </si>
  <si>
    <t>专项支出</t>
  </si>
  <si>
    <t>设备采购月份</t>
  </si>
  <si>
    <t>Token成本：项目短任务样本与专业开发者公开统计分开使用</t>
  </si>
  <si>
    <t>有回执的任务数</t>
  </si>
  <si>
    <t>实际响应数</t>
  </si>
  <si>
    <t>美元兑人民币参考中间价</t>
  </si>
  <si>
    <t>样本输入Token总量</t>
  </si>
  <si>
    <t>样本输出Token总量</t>
  </si>
  <si>
    <t>Pro高峰未命中输入价（元/百万）</t>
  </si>
  <si>
    <t>Pro高峰输出价（元/百万）</t>
  </si>
  <si>
    <t>学生每月活动次数（假设）</t>
  </si>
  <si>
    <t>学生每活动任务尝试数（假设）</t>
  </si>
  <si>
    <t>教师每月准备次数（假设）</t>
  </si>
  <si>
    <t>教师每次任务尝试数（假设）</t>
  </si>
  <si>
    <t>专业开发者典型月成本下限（美元）</t>
  </si>
  <si>
    <t>专业云创作者月成本中点（美元）</t>
  </si>
  <si>
    <t>专业开发者典型月成本上限（美元）</t>
  </si>
  <si>
    <t>研发每活跃日成本参考（美元）</t>
  </si>
  <si>
    <t>场景预算启用月序（条件假设）</t>
  </si>
  <si>
    <t>学生人均月短任务参考成本</t>
  </si>
  <si>
    <t>教师人均月短任务参考成本</t>
  </si>
  <si>
    <t>专业云创作者人均月参考成本</t>
  </si>
  <si>
    <t>研发等效资源人均月Agent预算</t>
  </si>
  <si>
    <t>研发每月活跃天数（假设）</t>
  </si>
  <si>
    <t>单任务按直供Pro峰价重定价（元）</t>
  </si>
  <si>
    <t>每任务平均输入Token</t>
  </si>
  <si>
    <t>每任务平均输出Token</t>
  </si>
  <si>
    <t>专业月成本下限折人民币</t>
  </si>
  <si>
    <t>专业月成本上限折人民币</t>
  </si>
  <si>
    <t>样本仅涵盖10个有可读回执的短任务、30次响应；未取得缓存拆分。其他任务可能另有费用，不用成功样本估算其零消耗。</t>
  </si>
  <si>
    <t>学生/教师频次为规划输入，短任务参考不代表真实课堂月成本或完整专业模板消耗；输入输出、上下文增长与重试须后续实测。</t>
  </si>
  <si>
    <t>专业档单列Claude Code企业API使用统计150–250美元/月，中点为200；不套用于所有个人用户或小学生，不代表Blocky实测或厂商报价。</t>
  </si>
  <si>
    <t>内部研发采用13美元/活跃日×22个活跃日的资源预算，活跃天数是工作负荷假设；公开典型月范围与活跃日均不能同时相加。</t>
  </si>
  <si>
    <t>DeepSeek价格来自当前中文API文档，缓存未知按全部未命中敏感性重定价；不能当成息壤实际支付账单。</t>
  </si>
  <si>
    <t>汇率参考2026-09-30中国货币网6.7351，非支付成交汇率；美元统计先换算人民币再进入本模型。</t>
  </si>
  <si>
    <t>前18个月为研发排期假设，场景预算第19月后且产品准备关口通过才启用；日期与人数均非上线承诺。关口延期时调整启用月与人数曲线。</t>
  </si>
  <si>
    <t>BYOK及本地用户不计平台采购人数。平台云算力专业档用户规模是条件容量，人头不等于下载、注册、订阅销量或既有客户。</t>
  </si>
  <si>
    <t>月份</t>
  </si>
  <si>
    <t>24个月合计 / 期末</t>
  </si>
  <si>
    <t>学生平台云算力条件容量</t>
  </si>
  <si>
    <t>教师平台云算力条件容量</t>
  </si>
  <si>
    <t>专业创作者平台云算力条件容量</t>
  </si>
  <si>
    <t>合计云算力人头（非下载数）</t>
  </si>
  <si>
    <t>学生月度算力采购</t>
  </si>
  <si>
    <t>教师月度算力采购</t>
  </si>
  <si>
    <t>个人月度算力采购</t>
  </si>
  <si>
    <t>外部用户Token成本合计</t>
  </si>
  <si>
    <t>等效资源人力</t>
  </si>
  <si>
    <t>综合人力现金</t>
  </si>
  <si>
    <t>内部研发Agent预算</t>
  </si>
  <si>
    <t>云基础设施</t>
  </si>
  <si>
    <t>教学共创与试用</t>
  </si>
  <si>
    <t>社区活动与材料</t>
  </si>
  <si>
    <t>一般运营与合规预算</t>
  </si>
  <si>
    <t>专项外部交付</t>
  </si>
  <si>
    <t>条件用户算力成本</t>
  </si>
  <si>
    <t>实际非退还合作费（未录入）</t>
  </si>
  <si>
    <t>费用现金合计（不含设备）</t>
  </si>
  <si>
    <t>设备购置现金</t>
  </si>
  <si>
    <t>当月设备折旧</t>
  </si>
  <si>
    <t>损益费用合计</t>
  </si>
  <si>
    <t>常规固定与专项支出</t>
  </si>
  <si>
    <t>常规经常性支出</t>
  </si>
  <si>
    <t>规划成本回收额（不是正式售价）</t>
  </si>
  <si>
    <t>实际收款规划</t>
  </si>
  <si>
    <t>期末待收回金额</t>
  </si>
  <si>
    <t>规划成本回收收入</t>
  </si>
  <si>
    <t>外部用户算力成本</t>
  </si>
  <si>
    <t>算力贡献</t>
  </si>
  <si>
    <t>常规与专项运营费用</t>
  </si>
  <si>
    <t>非退还合作费</t>
  </si>
  <si>
    <t>折旧</t>
  </si>
  <si>
    <t>损益（零收入覆盖预算）</t>
  </si>
  <si>
    <t>现金（规划资金足额补入）</t>
  </si>
  <si>
    <t>待收回金额</t>
  </si>
  <si>
    <t>厂商预付额度资产</t>
  </si>
  <si>
    <t>保证金资产</t>
  </si>
  <si>
    <t>设备净值</t>
  </si>
  <si>
    <t>资产合计</t>
  </si>
  <si>
    <t>计划投入资本（非融资承诺）</t>
  </si>
  <si>
    <t>累计规划损益</t>
  </si>
  <si>
    <t>资产负债勾稽</t>
  </si>
  <si>
    <t>月初现金（未补资）</t>
  </si>
  <si>
    <t>收回的算力成本现金</t>
  </si>
  <si>
    <t>常规固定与专项现金</t>
  </si>
  <si>
    <t>用户Token消耗（费用口径）</t>
  </si>
  <si>
    <t>厂商额度充值（现金时点）</t>
  </si>
  <si>
    <t>月初预付额度资产</t>
  </si>
  <si>
    <t>抵扣已购额度</t>
  </si>
  <si>
    <t>月末预付额度资产</t>
  </si>
  <si>
    <t>用户Token实际支付现金</t>
  </si>
  <si>
    <t>非退还合作费用</t>
  </si>
  <si>
    <t>可退保证金现金</t>
  </si>
  <si>
    <t>现金支付总计</t>
  </si>
  <si>
    <t>当月净现金流</t>
  </si>
  <si>
    <t>月末现金（未补资）</t>
  </si>
  <si>
    <t>假设足额补入规划资金</t>
  </si>
  <si>
    <t>月初现金（假设补足）</t>
  </si>
  <si>
    <t>月末现金（假设补足）</t>
  </si>
  <si>
    <t>额度资产</t>
  </si>
  <si>
    <t>充值/消耗现金恒等检查</t>
  </si>
  <si>
    <t>资金来源与用途｜全部融资仅为规划演算，不代表到账、估值或贷款</t>
  </si>
  <si>
    <t>假设外部资金补入</t>
  </si>
  <si>
    <t>确认自有资金</t>
  </si>
  <si>
    <t>规划运营收款</t>
  </si>
  <si>
    <t>现金来源合计</t>
  </si>
  <si>
    <t>研发/教研运营等效人力</t>
  </si>
  <si>
    <t>外部用户Token实际现金</t>
  </si>
  <si>
    <t>基础设施/教学/社区/运营/专项</t>
  </si>
  <si>
    <t>设备采购</t>
  </si>
  <si>
    <t>合作费及保证金现金</t>
  </si>
  <si>
    <t>24个月现金支付</t>
  </si>
  <si>
    <t>期末现金（含储备与预留）</t>
  </si>
  <si>
    <t>现金用途合计</t>
  </si>
  <si>
    <t>来源减用途</t>
  </si>
  <si>
    <t>风险预留（不提前确认为费用）</t>
  </si>
  <si>
    <t>合作现金预留余额</t>
  </si>
  <si>
    <t>正常运营储备</t>
  </si>
  <si>
    <t>资金取整余量</t>
  </si>
  <si>
    <t>最低追加需求</t>
  </si>
  <si>
    <t>原生重算后的勾稽｜任何FAIL都阻止交付</t>
  </si>
  <si>
    <t>现金来源与用途差额</t>
  </si>
  <si>
    <t>资金需求与取整差额</t>
  </si>
  <si>
    <t>预付抵扣恒等最大误差</t>
  </si>
  <si>
    <t>逐月资产负债最大误差</t>
  </si>
  <si>
    <t>状态</t>
  </si>
  <si>
    <t>参数来源和假设登记｜访问日期2026-10-03｜人民币</t>
  </si>
  <si>
    <t>ID</t>
  </si>
  <si>
    <t>类型</t>
  </si>
  <si>
    <t>参数/事实</t>
  </si>
  <si>
    <t>依据和边界</t>
  </si>
  <si>
    <t>置信度</t>
  </si>
  <si>
    <t>公开来源</t>
  </si>
  <si>
    <t>F01</t>
  </si>
  <si>
    <t>规划要求</t>
  </si>
  <si>
    <t>24个月；Token按人头；合作费用未知</t>
  </si>
  <si>
    <t>24个月持续发展规划</t>
  </si>
  <si>
    <t>高（范围）</t>
  </si>
  <si>
    <t>F02</t>
  </si>
  <si>
    <t>规划判断</t>
  </si>
  <si>
    <t>第19月后条件容量/期末1160人</t>
  </si>
  <si>
    <t>产品准备关口后；不代表上线或增长承诺</t>
  </si>
  <si>
    <t>低</t>
  </si>
  <si>
    <t>F05</t>
  </si>
  <si>
    <t>资源预算</t>
  </si>
  <si>
    <t>3→4等效人力，综合人月2万元</t>
  </si>
  <si>
    <t>覆盖研发、教研与运营，非现有人员履历</t>
  </si>
  <si>
    <t>F06</t>
  </si>
  <si>
    <t>任务与公开使用统计</t>
  </si>
  <si>
    <t>短任务实测Token与专业150–250美元/月分别使用</t>
  </si>
  <si>
    <t>频次和专业预算中点为假设；不是售价或真实账单</t>
  </si>
  <si>
    <t>中（来源）/低（频次）</t>
  </si>
  <si>
    <t>F07</t>
  </si>
  <si>
    <t>厂商条件</t>
  </si>
  <si>
    <t>实际费/额度预付/保证金待报价</t>
  </si>
  <si>
    <t>0是未录入；合作现金预留30万元为预算判断</t>
  </si>
  <si>
    <t>F08</t>
  </si>
  <si>
    <t>现金政策</t>
  </si>
  <si>
    <t>3个月正常运营储备+10%常规支出风险预留</t>
  </si>
  <si>
    <t>风险预留不含用户Token、设备及未知合作费</t>
  </si>
  <si>
    <t>F09</t>
  </si>
  <si>
    <t>收入与资金</t>
  </si>
  <si>
    <t>默认成本回收0、自有现金0</t>
  </si>
  <si>
    <t>不以未确认收款或自有投入压低资金；外部补资仅规划</t>
  </si>
  <si>
    <t>F10</t>
  </si>
  <si>
    <t>设备与会计</t>
  </si>
  <si>
    <t>36个月折旧；预付和保证金为资产</t>
  </si>
  <si>
    <t>现金、费用与折旧分别核算；无融资税务承诺</t>
  </si>
  <si>
    <t>F03</t>
  </si>
  <si>
    <t>官方单价</t>
  </si>
  <si>
    <t>DeepSeek Pro高峰人民币输入未命中9元/百万、缓存命中0.30元/百万、输出27元/百万；短任务缓存拆分未知按未命中重定价，不代表息壤账单。</t>
  </si>
  <si>
    <t>来源类别及边界见原说明；USD按2026-09-30参考汇率换算</t>
  </si>
  <si>
    <t>高（机制）</t>
  </si>
  <si>
    <t>https://api-docs.deepseek.com/zh-cn/quick_start/pricing/</t>
  </si>
  <si>
    <t>F11</t>
  </si>
  <si>
    <t>项目脱敏用量样本</t>
  </si>
  <si>
    <t>2026-10-02十个取得可读回执的任务、30响应，输入76845/输出5738；其他任务用量不完整，样本不能证明课堂或完整模板成本。</t>
  </si>
  <si>
    <t>F12</t>
  </si>
  <si>
    <t>厂商公开使用统计</t>
  </si>
  <si>
    <t>Claude Code企业开发者典型150–250美元/月、活跃日均约13美元；专业预算选200美元中点，研发活跃天数假设22。不是Blocky用户实测，不套用于小学生。</t>
  </si>
  <si>
    <t>https://code.claude.com/docs/en/costs</t>
  </si>
  <si>
    <t>F13</t>
  </si>
  <si>
    <t>历史汇率参考</t>
  </si>
  <si>
    <t>中国外汇交易中心主办中国货币网2026-09-30 9:15美元中间价6.7351，官方网页索引读回；非实际支付成交汇率。</t>
  </si>
  <si>
    <t>https://www.chinamoney.com.cn/chinese/index.html</t>
  </si>
  <si>
    <t>F14</t>
  </si>
  <si>
    <t>官方价格</t>
  </si>
  <si>
    <t>Claude Sonnet/Opus及缓存、长上下文分项单价支持模型成本差异；本模型专业档采用公开使用统计，不能与API价格再次叠加。</t>
  </si>
  <si>
    <t>https://platform.claude.com/docs/en/about-claude/pricing</t>
  </si>
  <si>
    <t>F15</t>
  </si>
  <si>
    <t>供应商公开套餐</t>
  </si>
  <si>
    <t>息壤积分套餐公开，Pro输入输出与缓存兑换比例及平台托管适用性未明确；本项目实际采购费用仍需合同与账单。</t>
  </si>
  <si>
    <t>https://www.ctyun.cn/act/AI/zhuanxiang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</si>
</sst>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;[Red]\-#,##0.00;0"/>
    <numFmt numFmtId="177" formatCode="yyyy\-mm"/>
  </numFmts>
  <fonts count="5">
    <font>
      <sz val="11"/>
      <color theme="1"/>
      <name val="宋体"/>
      <family val="2"/>
      <scheme val="minor"/>
    </font>
    <font>
      <sz val="10"/>
      <color rgb="FF000000"/>
      <name val="Microsoft YaHei"/>
      <family val="2"/>
      <charset val="134"/>
    </font>
    <font>
      <b/>
      <sz val="12"/>
      <name val="Microsoft YaHei"/>
      <family val="2"/>
      <charset val="134"/>
    </font>
    <font>
      <sz val="10"/>
      <color rgb="FF0000FF"/>
      <name val="Microsoft YaHe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176" fontId="1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177" fontId="3" fillId="2" borderId="0" xfId="0" applyNumberFormat="1" applyFont="1" applyFill="1" applyAlignment="1">
      <alignment vertical="center" wrapText="1"/>
    </xf>
    <xf numFmtId="176" fontId="3" fillId="2" borderId="0" xfId="0" applyNumberFormat="1" applyFont="1" applyFill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177" fontId="1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8"/>
  <sheetViews>
    <sheetView tabSelected="1" workbookViewId="0">
      <pane xSplit="1" ySplit="2" topLeftCell="B3" activePane="bottomRight" state="frozen"/>
      <selection pane="topRight"/>
      <selection pane="bottomLeft"/>
      <selection pane="bottomRight" sqref="A1:D1"/>
    </sheetView>
  </sheetViews>
  <sheetFormatPr defaultRowHeight="13.5"/>
  <cols>
    <col min="1" max="1" width="62" customWidth="1"/>
    <col min="2" max="4" width="22" customWidth="1"/>
  </cols>
  <sheetData>
    <row r="1" spans="1:4" ht="30" customHeight="1">
      <c r="A1" s="12" t="s">
        <v>0</v>
      </c>
      <c r="B1" s="13"/>
      <c r="C1" s="13"/>
      <c r="D1" s="13"/>
    </row>
    <row r="2" spans="1:4" ht="50.1" customHeight="1">
      <c r="A2" s="15" t="s">
        <v>1</v>
      </c>
      <c r="B2" s="13"/>
      <c r="C2" s="13"/>
      <c r="D2" s="13"/>
    </row>
    <row r="3" spans="1:4" ht="24" customHeight="1">
      <c r="A3" s="2"/>
      <c r="B3" s="2"/>
      <c r="C3" s="2"/>
      <c r="D3" s="2"/>
    </row>
    <row r="4" spans="1:4" ht="24" customHeight="1">
      <c r="A4" s="2"/>
      <c r="B4" s="3" t="s">
        <v>2</v>
      </c>
      <c r="C4" s="3" t="s">
        <v>3</v>
      </c>
      <c r="D4" s="3" t="s">
        <v>4</v>
      </c>
    </row>
    <row r="5" spans="1:4" ht="24" customHeight="1">
      <c r="A5" s="1" t="s">
        <v>5</v>
      </c>
      <c r="B5" s="4">
        <f>Cohorts!Y6</f>
        <v>464</v>
      </c>
      <c r="C5" s="4">
        <f>Cohorts!Y20</f>
        <v>1160</v>
      </c>
      <c r="D5" s="4">
        <f>Cohorts!Y34</f>
        <v>2320</v>
      </c>
    </row>
    <row r="6" spans="1:4" ht="24" customHeight="1">
      <c r="A6" s="1" t="s">
        <v>6</v>
      </c>
      <c r="B6" s="4">
        <f>SUM(Costs!B11:Y11)</f>
        <v>913809.76740000001</v>
      </c>
      <c r="C6" s="4">
        <f>SUM(Costs!B36:Y36)</f>
        <v>3046032.5579999997</v>
      </c>
      <c r="D6" s="4">
        <f>SUM(Costs!B61:Y61)</f>
        <v>15230162.789999999</v>
      </c>
    </row>
    <row r="7" spans="1:4" ht="24" customHeight="1">
      <c r="A7" s="1" t="s">
        <v>7</v>
      </c>
      <c r="B7" s="4">
        <f>SUM(Costs!B5:Y5)</f>
        <v>95348.81070000006</v>
      </c>
      <c r="C7" s="4">
        <f>SUM(Costs!B30:Y30)</f>
        <v>173361.47399999996</v>
      </c>
      <c r="D7" s="4">
        <f>SUM(Costs!B55:Y55)</f>
        <v>329386.80060000013</v>
      </c>
    </row>
    <row r="8" spans="1:4" ht="24" customHeight="1">
      <c r="A8" s="1" t="s">
        <v>8</v>
      </c>
      <c r="B8" s="4">
        <f>SUM(Costs!B4:Y4)</f>
        <v>1056000</v>
      </c>
      <c r="C8" s="4">
        <f>SUM(Costs!B29:Y29)</f>
        <v>1800000</v>
      </c>
      <c r="D8" s="4">
        <f>SUM(Costs!B54:Y54)</f>
        <v>2736000</v>
      </c>
    </row>
    <row r="9" spans="1:4" ht="24" customHeight="1">
      <c r="A9" s="1" t="s">
        <v>9</v>
      </c>
      <c r="B9" s="4">
        <f>SUM(Costs!B17:Y17)-B7-B8</f>
        <v>474750.00000000047</v>
      </c>
      <c r="C9" s="4">
        <f>SUM(Costs!B42:Y42)-C7-C8</f>
        <v>633000.00000000047</v>
      </c>
      <c r="D9" s="4">
        <f>SUM(Costs!B67:Y67)-D7-D8</f>
        <v>949499.99999999907</v>
      </c>
    </row>
    <row r="10" spans="1:4" ht="24" customHeight="1">
      <c r="A10" s="1" t="s">
        <v>10</v>
      </c>
      <c r="B10" s="4">
        <f>SUM(Costs!B14:Y14)</f>
        <v>60000</v>
      </c>
      <c r="C10" s="4">
        <f>SUM(Costs!B39:Y39)</f>
        <v>80000</v>
      </c>
      <c r="D10" s="4">
        <f>SUM(Costs!B64:Y64)</f>
        <v>120000</v>
      </c>
    </row>
    <row r="11" spans="1:4" ht="24" customHeight="1">
      <c r="A11" s="1" t="s">
        <v>11</v>
      </c>
      <c r="B11" s="4">
        <f>SUM('Cash Flow'!B15:Y15)</f>
        <v>2599908.5780999996</v>
      </c>
      <c r="C11" s="4">
        <f>SUM('Cash Flow'!B48:Y48)</f>
        <v>5732394.0319999997</v>
      </c>
      <c r="D11" s="4">
        <f>SUM('Cash Flow'!B81:Y81)</f>
        <v>19365049.590600003</v>
      </c>
    </row>
    <row r="12" spans="1:4" ht="24" customHeight="1">
      <c r="A12" s="1" t="s">
        <v>12</v>
      </c>
      <c r="B12" s="4">
        <f>SUM(Revenue!B5:Y5)</f>
        <v>0</v>
      </c>
      <c r="C12" s="4">
        <f>SUM(Revenue!B17:Y17)</f>
        <v>0</v>
      </c>
      <c r="D12" s="4">
        <f>SUM(Revenue!B29:Y29)</f>
        <v>0</v>
      </c>
    </row>
    <row r="13" spans="1:4" ht="24" customHeight="1">
      <c r="A13" s="1" t="s">
        <v>13</v>
      </c>
      <c r="B13" s="4">
        <f>Assumptions!$B$4</f>
        <v>0</v>
      </c>
      <c r="C13" s="4">
        <f>Assumptions!$B$4</f>
        <v>0</v>
      </c>
      <c r="D13" s="4">
        <f>Assumptions!$B$4</f>
        <v>0</v>
      </c>
    </row>
    <row r="14" spans="1:4" ht="24" customHeight="1">
      <c r="A14" s="1" t="s">
        <v>14</v>
      </c>
      <c r="B14" s="4">
        <f>MAX(0,-MIN('Cash Flow'!B17:Y17))</f>
        <v>2599908.5780999996</v>
      </c>
      <c r="C14" s="4">
        <f>MAX(0,-MIN('Cash Flow'!B50:Y50))</f>
        <v>5732394.0319999997</v>
      </c>
      <c r="D14" s="4">
        <f>MAX(0,-MIN('Cash Flow'!B83:Y83))</f>
        <v>19365049.590600003</v>
      </c>
    </row>
    <row r="15" spans="1:4" ht="24" customHeight="1">
      <c r="A15" s="1" t="s">
        <v>15</v>
      </c>
      <c r="B15" s="4">
        <f>SUM(Costs!B17:Y17)*Assumptions!B$24</f>
        <v>162609.88107000006</v>
      </c>
      <c r="C15" s="4">
        <f>SUM(Costs!B42:Y42)*Assumptions!C$24</f>
        <v>260636.14740000005</v>
      </c>
      <c r="D15" s="4">
        <f>SUM(Costs!B67:Y67)*Assumptions!D$24</f>
        <v>602233.02008999989</v>
      </c>
    </row>
    <row r="16" spans="1:4" ht="24" customHeight="1">
      <c r="A16" s="3" t="s">
        <v>16</v>
      </c>
      <c r="B16" s="5">
        <f>MAX(0,Assumptions!B$23-SUM(Costs!B12:Y12)-'Cash Flow'!Y21-'Cash Flow'!Y22)</f>
        <v>100000</v>
      </c>
      <c r="C16" s="5">
        <f>MAX(0,Assumptions!C$23-SUM(Costs!B37:Y37)-'Cash Flow'!Y54-'Cash Flow'!Y55)</f>
        <v>300000</v>
      </c>
      <c r="D16" s="5">
        <f>MAX(0,Assumptions!D$23-SUM(Costs!B62:Y62)-'Cash Flow'!Y87-'Cash Flow'!Y88)</f>
        <v>800000</v>
      </c>
    </row>
    <row r="17" spans="1:4" ht="24" customHeight="1">
      <c r="A17" s="1" t="s">
        <v>17</v>
      </c>
      <c r="B17" s="4">
        <f>Assumptions!B$25*(Costs!Y18+Costs!Y11*(1-Assumptions!$B$5))</f>
        <v>824586.72168599989</v>
      </c>
      <c r="C17" s="4">
        <f>Assumptions!C$25*(Costs!Y43+Costs!Y36*(1-Assumptions!$B$5))</f>
        <v>2371396.90032</v>
      </c>
      <c r="D17" s="4">
        <f>Assumptions!D$25*(Costs!Y68+Costs!Y61*(1-Assumptions!$B$5))</f>
        <v>10671750.554099999</v>
      </c>
    </row>
    <row r="18" spans="1:4" ht="24" customHeight="1">
      <c r="A18" s="1" t="s">
        <v>18</v>
      </c>
      <c r="B18" s="4">
        <f>SUM(B14:B17)</f>
        <v>3687105.1808559997</v>
      </c>
      <c r="C18" s="4">
        <f>SUM(C14:C17)</f>
        <v>8664427.0797199998</v>
      </c>
      <c r="D18" s="4">
        <f>SUM(D14:D17)</f>
        <v>31439033.164790001</v>
      </c>
    </row>
    <row r="19" spans="1:4" ht="24" customHeight="1">
      <c r="A19" s="1" t="s">
        <v>19</v>
      </c>
      <c r="B19" s="4">
        <f>ROUNDUP(B18/Assumptions!$B$12,0)*Assumptions!$B$12</f>
        <v>4000000</v>
      </c>
      <c r="C19" s="4">
        <f>ROUNDUP(C18/Assumptions!$B$12,0)*Assumptions!$B$12</f>
        <v>9000000</v>
      </c>
      <c r="D19" s="4">
        <f>ROUNDUP(D18/Assumptions!$B$12,0)*Assumptions!$B$12</f>
        <v>31500000</v>
      </c>
    </row>
    <row r="20" spans="1:4" ht="24" customHeight="1">
      <c r="A20" s="1" t="s">
        <v>20</v>
      </c>
      <c r="B20" s="4">
        <f>'Cash Flow'!Y20</f>
        <v>1400091.4219000014</v>
      </c>
      <c r="C20" s="4">
        <f>'Cash Flow'!Y53</f>
        <v>3267605.9679999957</v>
      </c>
      <c r="D20" s="4">
        <f>'Cash Flow'!Y86</f>
        <v>12134950.409399975</v>
      </c>
    </row>
    <row r="21" spans="1:4" ht="24" customHeight="1">
      <c r="A21" s="1" t="s">
        <v>21</v>
      </c>
      <c r="B21" s="4">
        <f>Costs!Y11</f>
        <v>203028.20371199999</v>
      </c>
      <c r="C21" s="4">
        <f>Costs!Y36</f>
        <v>676760.67903999996</v>
      </c>
      <c r="D21" s="4">
        <f>Costs!Y61</f>
        <v>3383803.3952000001</v>
      </c>
    </row>
    <row r="22" spans="1:4" ht="24" customHeight="1">
      <c r="A22" s="1" t="s">
        <v>22</v>
      </c>
      <c r="B22" s="4" t="str">
        <f>TEXT(INDEX('Cash Flow'!B2:Y2,1,MATCH(MIN('Cash Flow'!B17:Y17),'Cash Flow'!B17:Y17,0)),"yyyy-mm")</f>
        <v>2028-10</v>
      </c>
      <c r="C22" s="4" t="str">
        <f>TEXT(INDEX('Cash Flow'!B35:Y35,1,MATCH(MIN('Cash Flow'!B50:Y50),'Cash Flow'!B50:Y50,0)),"yyyy-mm")</f>
        <v>2028-10</v>
      </c>
      <c r="D22" s="4" t="str">
        <f>TEXT(INDEX('Cash Flow'!B68:Y68,1,MATCH(MIN('Cash Flow'!B83:Y83),'Cash Flow'!B83:Y83,0)),"yyyy-mm")</f>
        <v>2028-10</v>
      </c>
    </row>
    <row r="23" spans="1:4" ht="24" customHeight="1"/>
    <row r="24" spans="1:4" ht="45" customHeight="1">
      <c r="A24" s="14" t="s">
        <v>23</v>
      </c>
      <c r="B24" s="13"/>
      <c r="C24" s="13"/>
      <c r="D24" s="13"/>
    </row>
    <row r="25" spans="1:4" ht="24" customHeight="1"/>
    <row r="26" spans="1:4" ht="45" customHeight="1">
      <c r="A26" s="14" t="s">
        <v>24</v>
      </c>
      <c r="B26" s="13"/>
      <c r="C26" s="13"/>
      <c r="D26" s="13"/>
    </row>
    <row r="27" spans="1:4" ht="24" customHeight="1"/>
    <row r="28" spans="1:4" ht="36" customHeight="1">
      <c r="A28" s="15" t="s">
        <v>25</v>
      </c>
      <c r="B28" s="13"/>
      <c r="C28" s="13"/>
      <c r="D28" s="13"/>
    </row>
  </sheetData>
  <mergeCells count="5">
    <mergeCell ref="A1:D1"/>
    <mergeCell ref="A26:D26"/>
    <mergeCell ref="A24:D24"/>
    <mergeCell ref="A2:D2"/>
    <mergeCell ref="A28:D28"/>
  </mergeCells>
  <phoneticPr fontId="4" type="noConversion"/>
  <printOptions horizontalCentered="1"/>
  <pageMargins left="0.25" right="0.25" top="1" bottom="1" header="0.5" footer="0.5"/>
  <pageSetup paperSize="8" orientation="landscape"/>
  <headerFooter>
    <oddFooter>&amp;CBlocky Studio | 规划预算 |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3.5"/>
  <cols>
    <col min="1" max="1" width="49" customWidth="1"/>
    <col min="2" max="6" width="13" customWidth="1"/>
    <col min="7" max="7" width="20" customWidth="1"/>
  </cols>
  <sheetData>
    <row r="1" spans="1:7" ht="32.1" customHeight="1">
      <c r="A1" s="12" t="s">
        <v>26</v>
      </c>
      <c r="B1" s="13"/>
      <c r="C1" s="13"/>
      <c r="D1" s="13"/>
      <c r="E1" s="13"/>
      <c r="F1" s="13"/>
      <c r="G1" s="13"/>
    </row>
    <row r="2" spans="1:7" ht="18.95" customHeight="1">
      <c r="A2" s="1" t="s">
        <v>27</v>
      </c>
      <c r="B2" s="7">
        <v>24</v>
      </c>
    </row>
    <row r="3" spans="1:7" ht="18.95" customHeight="1">
      <c r="A3" s="3" t="s">
        <v>28</v>
      </c>
      <c r="B3" s="8">
        <v>46327</v>
      </c>
      <c r="C3" s="2"/>
      <c r="D3" s="2"/>
      <c r="E3" s="2"/>
      <c r="F3" s="2"/>
      <c r="G3" s="2"/>
    </row>
    <row r="4" spans="1:7" ht="18.95" customHeight="1">
      <c r="A4" s="3" t="s">
        <v>29</v>
      </c>
      <c r="B4" s="9">
        <v>0</v>
      </c>
      <c r="C4" s="2"/>
      <c r="D4" s="2"/>
      <c r="E4" s="2"/>
      <c r="F4" s="2"/>
      <c r="G4" s="2"/>
    </row>
    <row r="5" spans="1:7" ht="18.95" customHeight="1">
      <c r="A5" s="1" t="s">
        <v>30</v>
      </c>
      <c r="B5" s="10">
        <v>0</v>
      </c>
    </row>
    <row r="6" spans="1:7" ht="18.95" customHeight="1">
      <c r="A6" s="1" t="s">
        <v>31</v>
      </c>
      <c r="B6" s="7">
        <v>0</v>
      </c>
    </row>
    <row r="7" spans="1:7" ht="18.95" customHeight="1">
      <c r="A7" s="1" t="s">
        <v>32</v>
      </c>
      <c r="B7" s="7">
        <v>0</v>
      </c>
    </row>
    <row r="8" spans="1:7" ht="18.95" customHeight="1">
      <c r="A8" s="1" t="s">
        <v>33</v>
      </c>
      <c r="B8" s="7">
        <v>0</v>
      </c>
    </row>
    <row r="9" spans="1:7" ht="18.95" customHeight="1">
      <c r="A9" s="1" t="s">
        <v>34</v>
      </c>
      <c r="B9" s="7">
        <v>0</v>
      </c>
    </row>
    <row r="10" spans="1:7" ht="18.95" customHeight="1">
      <c r="A10" s="1" t="s">
        <v>35</v>
      </c>
      <c r="B10" s="7">
        <v>6</v>
      </c>
    </row>
    <row r="11" spans="1:7" ht="18.95" customHeight="1">
      <c r="A11" s="1" t="s">
        <v>36</v>
      </c>
      <c r="B11" s="7">
        <v>36</v>
      </c>
    </row>
    <row r="12" spans="1:7" ht="18.95" customHeight="1">
      <c r="A12" s="1" t="s">
        <v>37</v>
      </c>
      <c r="B12" s="7">
        <v>500000</v>
      </c>
    </row>
    <row r="13" spans="1:7" ht="18.95" customHeight="1"/>
    <row r="14" spans="1:7" ht="60" customHeight="1">
      <c r="A14" s="14" t="s">
        <v>38</v>
      </c>
      <c r="B14" s="13"/>
      <c r="C14" s="13"/>
      <c r="D14" s="13"/>
      <c r="E14" s="13"/>
      <c r="F14" s="13"/>
      <c r="G14" s="13"/>
    </row>
    <row r="15" spans="1:7" ht="18.95" customHeight="1"/>
    <row r="16" spans="1:7" ht="18.95" customHeight="1">
      <c r="A16" s="2"/>
      <c r="B16" s="3" t="s">
        <v>2</v>
      </c>
      <c r="C16" s="3" t="s">
        <v>3</v>
      </c>
      <c r="D16" s="3" t="s">
        <v>4</v>
      </c>
      <c r="E16" s="2"/>
      <c r="F16" s="2"/>
      <c r="G16" s="2"/>
    </row>
    <row r="17" spans="1:4" ht="18.95" customHeight="1">
      <c r="A17" s="1" t="s">
        <v>39</v>
      </c>
      <c r="B17" s="7">
        <v>2</v>
      </c>
      <c r="C17" s="7">
        <v>3</v>
      </c>
      <c r="D17" s="7">
        <v>4</v>
      </c>
    </row>
    <row r="18" spans="1:4" ht="18.95" customHeight="1">
      <c r="A18" s="1" t="s">
        <v>40</v>
      </c>
      <c r="B18" s="7">
        <v>3</v>
      </c>
      <c r="C18" s="7">
        <v>4</v>
      </c>
      <c r="D18" s="7">
        <v>5</v>
      </c>
    </row>
    <row r="19" spans="1:4" ht="18.95" customHeight="1">
      <c r="A19" s="1" t="s">
        <v>41</v>
      </c>
      <c r="B19" s="7">
        <v>16000</v>
      </c>
      <c r="C19" s="7">
        <v>20000</v>
      </c>
      <c r="D19" s="7">
        <v>24000</v>
      </c>
    </row>
    <row r="20" spans="1:4" ht="18.95" customHeight="1">
      <c r="A20" s="1" t="s">
        <v>42</v>
      </c>
      <c r="B20" s="7">
        <v>0.4</v>
      </c>
      <c r="C20" s="7">
        <v>1</v>
      </c>
      <c r="D20" s="7">
        <v>2</v>
      </c>
    </row>
    <row r="21" spans="1:4" ht="18.95" customHeight="1">
      <c r="A21" s="1" t="s">
        <v>43</v>
      </c>
      <c r="B21" s="7">
        <v>0.75</v>
      </c>
      <c r="C21" s="7">
        <v>1</v>
      </c>
      <c r="D21" s="7">
        <v>2.5</v>
      </c>
    </row>
    <row r="22" spans="1:4" ht="18.95" customHeight="1">
      <c r="A22" s="1" t="s">
        <v>44</v>
      </c>
      <c r="B22" s="7">
        <v>0.75</v>
      </c>
      <c r="C22" s="7">
        <v>1</v>
      </c>
      <c r="D22" s="7">
        <v>1.5</v>
      </c>
    </row>
    <row r="23" spans="1:4" ht="18.95" customHeight="1">
      <c r="A23" s="1" t="s">
        <v>45</v>
      </c>
      <c r="B23" s="7">
        <v>100000</v>
      </c>
      <c r="C23" s="7">
        <v>300000</v>
      </c>
      <c r="D23" s="7">
        <v>800000</v>
      </c>
    </row>
    <row r="24" spans="1:4" ht="18.95" customHeight="1">
      <c r="A24" s="1" t="s">
        <v>46</v>
      </c>
      <c r="B24" s="7">
        <v>0.1</v>
      </c>
      <c r="C24" s="7">
        <v>0.1</v>
      </c>
      <c r="D24" s="7">
        <v>0.15</v>
      </c>
    </row>
    <row r="25" spans="1:4" ht="18.95" customHeight="1">
      <c r="A25" s="1" t="s">
        <v>47</v>
      </c>
      <c r="B25" s="7">
        <v>3</v>
      </c>
      <c r="C25" s="7">
        <v>3</v>
      </c>
      <c r="D25" s="7">
        <v>3</v>
      </c>
    </row>
    <row r="26" spans="1:4" ht="18.95" customHeight="1"/>
    <row r="27" spans="1:4" ht="18.95" customHeight="1"/>
    <row r="28" spans="1:4" ht="18.95" customHeight="1"/>
    <row r="29" spans="1:4" ht="18.95" customHeight="1">
      <c r="A29" s="1" t="s">
        <v>48</v>
      </c>
      <c r="B29" s="4">
        <f>Usage!B19</f>
        <v>3.3861240000000006</v>
      </c>
    </row>
    <row r="30" spans="1:4" ht="18.95" customHeight="1">
      <c r="A30" s="1" t="s">
        <v>49</v>
      </c>
      <c r="B30" s="4">
        <f>Usage!B20</f>
        <v>20.316744</v>
      </c>
    </row>
    <row r="31" spans="1:4" ht="18.95" customHeight="1">
      <c r="A31" s="1" t="s">
        <v>50</v>
      </c>
      <c r="B31" s="4">
        <f>Usage!B21</f>
        <v>1347.02</v>
      </c>
    </row>
    <row r="32" spans="1:4" ht="18.95" customHeight="1">
      <c r="A32" s="1" t="s">
        <v>51</v>
      </c>
      <c r="B32" s="4">
        <f>Usage!B22</f>
        <v>1926.2386000000001</v>
      </c>
    </row>
    <row r="33" spans="1:7" ht="18.95" customHeight="1"/>
    <row r="34" spans="1:7" ht="18.95" customHeight="1">
      <c r="A34" s="1" t="s">
        <v>52</v>
      </c>
      <c r="B34" s="7">
        <v>3000</v>
      </c>
    </row>
    <row r="35" spans="1:7" ht="18.95" customHeight="1">
      <c r="A35" s="1" t="s">
        <v>53</v>
      </c>
      <c r="B35" s="7">
        <v>6000</v>
      </c>
    </row>
    <row r="36" spans="1:7" ht="18.95" customHeight="1">
      <c r="A36" s="1" t="s">
        <v>54</v>
      </c>
      <c r="B36" s="7">
        <v>9000</v>
      </c>
    </row>
    <row r="37" spans="1:7" ht="18.95" customHeight="1">
      <c r="A37" s="1" t="s">
        <v>55</v>
      </c>
      <c r="B37" s="7">
        <v>0</v>
      </c>
    </row>
    <row r="38" spans="1:7" ht="18.95" customHeight="1">
      <c r="A38" s="1" t="s">
        <v>56</v>
      </c>
      <c r="B38" s="7">
        <v>6000</v>
      </c>
    </row>
    <row r="39" spans="1:7" ht="18.95" customHeight="1">
      <c r="A39" s="1" t="s">
        <v>57</v>
      </c>
      <c r="B39" s="7">
        <v>8000</v>
      </c>
    </row>
    <row r="40" spans="1:7" ht="18.95" customHeight="1">
      <c r="A40" s="1" t="s">
        <v>58</v>
      </c>
      <c r="B40" s="7">
        <v>0</v>
      </c>
    </row>
    <row r="41" spans="1:7" ht="18.95" customHeight="1">
      <c r="A41" s="1" t="s">
        <v>59</v>
      </c>
      <c r="B41" s="7">
        <v>3000</v>
      </c>
    </row>
    <row r="42" spans="1:7" ht="18.95" customHeight="1">
      <c r="A42" s="1" t="s">
        <v>60</v>
      </c>
      <c r="B42" s="7">
        <v>6000</v>
      </c>
    </row>
    <row r="43" spans="1:7" ht="18.95" customHeight="1">
      <c r="A43" s="1" t="s">
        <v>61</v>
      </c>
      <c r="B43" s="7">
        <v>3000</v>
      </c>
    </row>
    <row r="44" spans="1:7" ht="18.95" customHeight="1"/>
    <row r="45" spans="1:7" ht="18.95" customHeight="1"/>
    <row r="46" spans="1:7" ht="18.95" customHeight="1">
      <c r="A46" s="1" t="s">
        <v>62</v>
      </c>
      <c r="B46" s="1" t="s">
        <v>63</v>
      </c>
      <c r="C46" s="1" t="s">
        <v>64</v>
      </c>
      <c r="D46" s="1" t="s">
        <v>65</v>
      </c>
      <c r="F46" s="1" t="s">
        <v>66</v>
      </c>
      <c r="G46" s="1" t="s">
        <v>67</v>
      </c>
    </row>
    <row r="47" spans="1:7" ht="18.95" customHeight="1">
      <c r="A47" s="4">
        <v>1</v>
      </c>
      <c r="B47" s="7">
        <v>0</v>
      </c>
      <c r="C47" s="7">
        <v>0</v>
      </c>
      <c r="D47" s="7">
        <v>0</v>
      </c>
      <c r="F47" s="7">
        <v>6</v>
      </c>
      <c r="G47" s="7">
        <v>30000</v>
      </c>
    </row>
    <row r="48" spans="1:7" ht="18.95" customHeight="1">
      <c r="A48" s="4">
        <v>2</v>
      </c>
      <c r="B48" s="7">
        <v>0</v>
      </c>
      <c r="C48" s="7">
        <v>0</v>
      </c>
      <c r="D48" s="7">
        <v>0</v>
      </c>
      <c r="F48" s="7">
        <v>12</v>
      </c>
      <c r="G48" s="7">
        <v>40000</v>
      </c>
    </row>
    <row r="49" spans="1:7" ht="18.95" customHeight="1">
      <c r="A49" s="4">
        <v>3</v>
      </c>
      <c r="B49" s="7">
        <v>0</v>
      </c>
      <c r="C49" s="7">
        <v>0</v>
      </c>
      <c r="D49" s="7">
        <v>0</v>
      </c>
      <c r="F49" s="7">
        <v>18</v>
      </c>
      <c r="G49" s="7">
        <v>40000</v>
      </c>
    </row>
    <row r="50" spans="1:7" ht="18.95" customHeight="1">
      <c r="A50" s="4">
        <v>4</v>
      </c>
      <c r="B50" s="7">
        <v>0</v>
      </c>
      <c r="C50" s="7">
        <v>0</v>
      </c>
      <c r="D50" s="7">
        <v>0</v>
      </c>
      <c r="F50" s="7">
        <v>24</v>
      </c>
      <c r="G50" s="7">
        <v>40000</v>
      </c>
    </row>
    <row r="51" spans="1:7" ht="18.95" customHeight="1">
      <c r="A51" s="4">
        <v>5</v>
      </c>
      <c r="B51" s="7">
        <v>0</v>
      </c>
      <c r="C51" s="7">
        <v>0</v>
      </c>
      <c r="D51" s="7">
        <v>0</v>
      </c>
    </row>
    <row r="52" spans="1:7" ht="18.95" customHeight="1">
      <c r="A52" s="4">
        <v>6</v>
      </c>
      <c r="B52" s="7">
        <v>0</v>
      </c>
      <c r="C52" s="7">
        <v>0</v>
      </c>
      <c r="D52" s="7">
        <v>0</v>
      </c>
    </row>
    <row r="53" spans="1:7" ht="18.95" customHeight="1">
      <c r="A53" s="4">
        <v>7</v>
      </c>
      <c r="B53" s="7">
        <v>0</v>
      </c>
      <c r="C53" s="7">
        <v>0</v>
      </c>
      <c r="D53" s="7">
        <v>0</v>
      </c>
      <c r="F53" s="1" t="s">
        <v>68</v>
      </c>
      <c r="G53" s="1" t="s">
        <v>10</v>
      </c>
    </row>
    <row r="54" spans="1:7" ht="18.95" customHeight="1">
      <c r="A54" s="4">
        <v>8</v>
      </c>
      <c r="B54" s="7">
        <v>0</v>
      </c>
      <c r="C54" s="7">
        <v>0</v>
      </c>
      <c r="D54" s="7">
        <v>0</v>
      </c>
      <c r="F54" s="7">
        <v>1</v>
      </c>
      <c r="G54" s="7">
        <v>50000</v>
      </c>
    </row>
    <row r="55" spans="1:7" ht="18.95" customHeight="1">
      <c r="A55" s="4">
        <v>9</v>
      </c>
      <c r="B55" s="7">
        <v>0</v>
      </c>
      <c r="C55" s="7">
        <v>0</v>
      </c>
      <c r="D55" s="7">
        <v>0</v>
      </c>
      <c r="F55" s="7">
        <v>7</v>
      </c>
      <c r="G55" s="7">
        <v>30000</v>
      </c>
    </row>
    <row r="56" spans="1:7" ht="18.95" customHeight="1">
      <c r="A56" s="4">
        <v>10</v>
      </c>
      <c r="B56" s="7">
        <v>0</v>
      </c>
      <c r="C56" s="7">
        <v>0</v>
      </c>
      <c r="D56" s="7">
        <v>0</v>
      </c>
    </row>
    <row r="57" spans="1:7" ht="18.95" customHeight="1">
      <c r="A57" s="4">
        <v>11</v>
      </c>
      <c r="B57" s="7">
        <v>0</v>
      </c>
      <c r="C57" s="7">
        <v>0</v>
      </c>
      <c r="D57" s="7">
        <v>0</v>
      </c>
    </row>
    <row r="58" spans="1:7" ht="18.95" customHeight="1">
      <c r="A58" s="4">
        <v>12</v>
      </c>
      <c r="B58" s="7">
        <v>0</v>
      </c>
      <c r="C58" s="7">
        <v>0</v>
      </c>
      <c r="D58" s="7">
        <v>0</v>
      </c>
    </row>
    <row r="59" spans="1:7" ht="18.95" customHeight="1">
      <c r="A59" s="4">
        <v>13</v>
      </c>
      <c r="B59" s="7">
        <v>0</v>
      </c>
      <c r="C59" s="7">
        <v>0</v>
      </c>
      <c r="D59" s="7">
        <v>0</v>
      </c>
    </row>
    <row r="60" spans="1:7" ht="18.95" customHeight="1">
      <c r="A60" s="4">
        <v>14</v>
      </c>
      <c r="B60" s="7">
        <v>0</v>
      </c>
      <c r="C60" s="7">
        <v>0</v>
      </c>
      <c r="D60" s="7">
        <v>0</v>
      </c>
    </row>
    <row r="61" spans="1:7" ht="18.95" customHeight="1">
      <c r="A61" s="4">
        <v>15</v>
      </c>
      <c r="B61" s="7">
        <v>0</v>
      </c>
      <c r="C61" s="7">
        <v>0</v>
      </c>
      <c r="D61" s="7">
        <v>0</v>
      </c>
    </row>
    <row r="62" spans="1:7" ht="18.95" customHeight="1">
      <c r="A62" s="4">
        <v>16</v>
      </c>
      <c r="B62" s="7">
        <v>0</v>
      </c>
      <c r="C62" s="7">
        <v>0</v>
      </c>
      <c r="D62" s="7">
        <v>0</v>
      </c>
    </row>
    <row r="63" spans="1:7" ht="18.95" customHeight="1">
      <c r="A63" s="4">
        <v>17</v>
      </c>
      <c r="B63" s="7">
        <v>0</v>
      </c>
      <c r="C63" s="7">
        <v>0</v>
      </c>
      <c r="D63" s="7">
        <v>0</v>
      </c>
    </row>
    <row r="64" spans="1:7" ht="18.95" customHeight="1">
      <c r="A64" s="4">
        <v>18</v>
      </c>
      <c r="B64" s="7">
        <v>0</v>
      </c>
      <c r="C64" s="7">
        <v>0</v>
      </c>
      <c r="D64" s="7">
        <v>0</v>
      </c>
    </row>
    <row r="65" spans="1:4" ht="18.95" customHeight="1">
      <c r="A65" s="4">
        <v>19</v>
      </c>
      <c r="B65" s="7">
        <v>300</v>
      </c>
      <c r="C65" s="7">
        <v>40</v>
      </c>
      <c r="D65" s="7">
        <v>250</v>
      </c>
    </row>
    <row r="66" spans="1:4" ht="18.95" customHeight="1">
      <c r="A66" s="4">
        <v>20</v>
      </c>
      <c r="B66" s="7">
        <v>300</v>
      </c>
      <c r="C66" s="7">
        <v>40</v>
      </c>
      <c r="D66" s="7">
        <v>250</v>
      </c>
    </row>
    <row r="67" spans="1:4" ht="18.95" customHeight="1">
      <c r="A67" s="4">
        <v>21</v>
      </c>
      <c r="B67" s="7">
        <v>300</v>
      </c>
      <c r="C67" s="7">
        <v>40</v>
      </c>
      <c r="D67" s="7">
        <v>250</v>
      </c>
    </row>
    <row r="68" spans="1:4" ht="18.95" customHeight="1">
      <c r="A68" s="4">
        <v>22</v>
      </c>
      <c r="B68" s="7">
        <v>600</v>
      </c>
      <c r="C68" s="7">
        <v>60</v>
      </c>
      <c r="D68" s="7">
        <v>500</v>
      </c>
    </row>
    <row r="69" spans="1:4" ht="18.95" customHeight="1">
      <c r="A69" s="4">
        <v>23</v>
      </c>
      <c r="B69" s="7">
        <v>600</v>
      </c>
      <c r="C69" s="7">
        <v>60</v>
      </c>
      <c r="D69" s="7">
        <v>500</v>
      </c>
    </row>
    <row r="70" spans="1:4" ht="18.95" customHeight="1">
      <c r="A70" s="4">
        <v>24</v>
      </c>
      <c r="B70" s="7">
        <v>600</v>
      </c>
      <c r="C70" s="7">
        <v>60</v>
      </c>
      <c r="D70" s="7">
        <v>500</v>
      </c>
    </row>
  </sheetData>
  <mergeCells count="2">
    <mergeCell ref="A14:G14"/>
    <mergeCell ref="A1:G1"/>
  </mergeCells>
  <phoneticPr fontId="4" type="noConversion"/>
  <dataValidations count="2">
    <dataValidation type="decimal" sqref="B5" xr:uid="{00000000-0002-0000-0100-000000000000}">
      <formula1>0</formula1>
      <formula2>1</formula2>
    </dataValidation>
    <dataValidation type="whole" sqref="B6" xr:uid="{00000000-0002-0000-0100-000001000000}">
      <formula1>0</formula1>
      <formula2>6</formula2>
    </dataValidation>
  </dataValidations>
  <printOptions horizontalCentered="1"/>
  <pageMargins left="0.25" right="0.25" top="1" bottom="1" header="0.5" footer="0.5"/>
  <pageSetup paperSize="8" fitToHeight="0" orientation="portrait"/>
  <headerFooter>
    <oddFooter>&amp;CBlocky Studio | 规划预算 | &amp;P / &amp;N</oddFooter>
  </headerFooter>
  <rowBreaks count="1" manualBreakCount="1">
    <brk id="4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37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3.5"/>
  <cols>
    <col min="1" max="1" width="62" customWidth="1"/>
    <col min="2" max="4" width="13" customWidth="1"/>
  </cols>
  <sheetData>
    <row r="1" spans="1:2" ht="18">
      <c r="A1" s="6" t="s">
        <v>69</v>
      </c>
    </row>
    <row r="3" spans="1:2" ht="16.5">
      <c r="A3" s="1" t="s">
        <v>70</v>
      </c>
      <c r="B3" s="7">
        <v>10</v>
      </c>
    </row>
    <row r="4" spans="1:2" ht="16.5">
      <c r="A4" s="1" t="s">
        <v>71</v>
      </c>
      <c r="B4" s="7">
        <v>30</v>
      </c>
    </row>
    <row r="5" spans="1:2" ht="16.5">
      <c r="A5" s="1" t="s">
        <v>72</v>
      </c>
      <c r="B5" s="7">
        <v>6.7351000000000001</v>
      </c>
    </row>
    <row r="6" spans="1:2" ht="16.5">
      <c r="A6" s="1" t="s">
        <v>73</v>
      </c>
      <c r="B6" s="7">
        <v>76845</v>
      </c>
    </row>
    <row r="7" spans="1:2" ht="16.5">
      <c r="A7" s="1" t="s">
        <v>74</v>
      </c>
      <c r="B7" s="7">
        <v>5738</v>
      </c>
    </row>
    <row r="8" spans="1:2" ht="16.5">
      <c r="A8" s="1" t="s">
        <v>75</v>
      </c>
      <c r="B8" s="7">
        <v>9</v>
      </c>
    </row>
    <row r="9" spans="1:2" ht="16.5">
      <c r="A9" s="1" t="s">
        <v>76</v>
      </c>
      <c r="B9" s="7">
        <v>27</v>
      </c>
    </row>
    <row r="10" spans="1:2" ht="16.5">
      <c r="A10" s="1" t="s">
        <v>77</v>
      </c>
      <c r="B10" s="7">
        <v>4</v>
      </c>
    </row>
    <row r="11" spans="1:2" ht="16.5">
      <c r="A11" s="1" t="s">
        <v>78</v>
      </c>
      <c r="B11" s="7">
        <v>10</v>
      </c>
    </row>
    <row r="12" spans="1:2" ht="16.5">
      <c r="A12" s="1" t="s">
        <v>79</v>
      </c>
      <c r="B12" s="7">
        <v>12</v>
      </c>
    </row>
    <row r="13" spans="1:2" ht="16.5">
      <c r="A13" s="1" t="s">
        <v>80</v>
      </c>
      <c r="B13" s="7">
        <v>20</v>
      </c>
    </row>
    <row r="14" spans="1:2" ht="16.5">
      <c r="A14" s="1" t="s">
        <v>81</v>
      </c>
      <c r="B14" s="7">
        <v>150</v>
      </c>
    </row>
    <row r="15" spans="1:2" ht="16.5">
      <c r="A15" s="1" t="s">
        <v>82</v>
      </c>
      <c r="B15" s="7">
        <v>200</v>
      </c>
    </row>
    <row r="16" spans="1:2" ht="16.5">
      <c r="A16" s="1" t="s">
        <v>83</v>
      </c>
      <c r="B16" s="7">
        <v>250</v>
      </c>
    </row>
    <row r="17" spans="1:4" ht="16.5">
      <c r="A17" s="1" t="s">
        <v>84</v>
      </c>
      <c r="B17" s="7">
        <v>13</v>
      </c>
    </row>
    <row r="18" spans="1:4" ht="16.5">
      <c r="A18" s="1" t="s">
        <v>85</v>
      </c>
      <c r="B18" s="7">
        <v>19</v>
      </c>
    </row>
    <row r="19" spans="1:4" ht="16.5">
      <c r="A19" s="1" t="s">
        <v>86</v>
      </c>
      <c r="B19" s="4">
        <f>B24*B10*B11</f>
        <v>3.3861240000000006</v>
      </c>
    </row>
    <row r="20" spans="1:4" ht="16.5">
      <c r="A20" s="1" t="s">
        <v>87</v>
      </c>
      <c r="B20" s="4">
        <f>B24*B12*B13</f>
        <v>20.316744</v>
      </c>
    </row>
    <row r="21" spans="1:4" ht="16.5">
      <c r="A21" s="1" t="s">
        <v>88</v>
      </c>
      <c r="B21" s="4">
        <f>B15*B5</f>
        <v>1347.02</v>
      </c>
    </row>
    <row r="22" spans="1:4" ht="16.5">
      <c r="A22" s="1" t="s">
        <v>89</v>
      </c>
      <c r="B22" s="4">
        <f>B17*B23*B5</f>
        <v>1926.2386000000001</v>
      </c>
    </row>
    <row r="23" spans="1:4" ht="16.5">
      <c r="A23" s="1" t="s">
        <v>90</v>
      </c>
      <c r="B23" s="7">
        <v>22</v>
      </c>
    </row>
    <row r="24" spans="1:4" ht="16.5">
      <c r="A24" s="1" t="s">
        <v>91</v>
      </c>
      <c r="B24" s="4">
        <f>(B6/B3*B8+B7/B3*B9)/1000000</f>
        <v>8.4653100000000009E-2</v>
      </c>
    </row>
    <row r="25" spans="1:4" ht="16.5">
      <c r="A25" s="1" t="s">
        <v>92</v>
      </c>
      <c r="B25" s="4">
        <f>B6/B3</f>
        <v>7684.5</v>
      </c>
    </row>
    <row r="26" spans="1:4" ht="16.5">
      <c r="A26" s="1" t="s">
        <v>93</v>
      </c>
      <c r="B26" s="4">
        <f>B7/B3</f>
        <v>573.79999999999995</v>
      </c>
    </row>
    <row r="27" spans="1:4" ht="16.5">
      <c r="A27" s="1" t="s">
        <v>94</v>
      </c>
      <c r="B27" s="4">
        <f>B14*B5</f>
        <v>1010.265</v>
      </c>
    </row>
    <row r="28" spans="1:4" ht="16.5">
      <c r="A28" s="1" t="s">
        <v>95</v>
      </c>
      <c r="B28" s="4">
        <f>B16*B5</f>
        <v>1683.7750000000001</v>
      </c>
    </row>
    <row r="30" spans="1:4" ht="42" customHeight="1">
      <c r="A30" s="15" t="s">
        <v>96</v>
      </c>
      <c r="B30" s="13"/>
      <c r="C30" s="13"/>
      <c r="D30" s="13"/>
    </row>
    <row r="31" spans="1:4" ht="42" customHeight="1">
      <c r="A31" s="15" t="s">
        <v>97</v>
      </c>
      <c r="B31" s="13"/>
      <c r="C31" s="13"/>
      <c r="D31" s="13"/>
    </row>
    <row r="32" spans="1:4" ht="42" customHeight="1">
      <c r="A32" s="15" t="s">
        <v>98</v>
      </c>
      <c r="B32" s="13"/>
      <c r="C32" s="13"/>
      <c r="D32" s="13"/>
    </row>
    <row r="33" spans="1:4" ht="42" customHeight="1">
      <c r="A33" s="15" t="s">
        <v>99</v>
      </c>
      <c r="B33" s="13"/>
      <c r="C33" s="13"/>
      <c r="D33" s="13"/>
    </row>
    <row r="34" spans="1:4" ht="42" customHeight="1">
      <c r="A34" s="15" t="s">
        <v>100</v>
      </c>
      <c r="B34" s="13"/>
      <c r="C34" s="13"/>
      <c r="D34" s="13"/>
    </row>
    <row r="35" spans="1:4" ht="42" customHeight="1">
      <c r="A35" s="15" t="s">
        <v>101</v>
      </c>
      <c r="B35" s="13"/>
      <c r="C35" s="13"/>
      <c r="D35" s="13"/>
    </row>
    <row r="36" spans="1:4" ht="42" customHeight="1">
      <c r="A36" s="15" t="s">
        <v>102</v>
      </c>
      <c r="B36" s="13"/>
      <c r="C36" s="13"/>
      <c r="D36" s="13"/>
    </row>
    <row r="37" spans="1:4" ht="42" customHeight="1">
      <c r="A37" s="15" t="s">
        <v>103</v>
      </c>
      <c r="B37" s="13"/>
      <c r="C37" s="13"/>
      <c r="D37" s="13"/>
    </row>
  </sheetData>
  <mergeCells count="8">
    <mergeCell ref="A37:D37"/>
    <mergeCell ref="A31:D31"/>
    <mergeCell ref="A34:D34"/>
    <mergeCell ref="A35:D35"/>
    <mergeCell ref="A30:D30"/>
    <mergeCell ref="A33:D33"/>
    <mergeCell ref="A32:D32"/>
    <mergeCell ref="A36:D36"/>
  </mergeCells>
  <phoneticPr fontId="4" type="noConversion"/>
  <printOptions horizontalCentered="1"/>
  <pageMargins left="0.25" right="0.25" top="1" bottom="1" header="0.5" footer="0.5"/>
  <pageSetup paperSize="8" fitToHeight="0" orientation="landscape"/>
  <headerFooter>
    <oddFooter>&amp;CBlocky Studio | 规划预算 |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3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3.5"/>
  <cols>
    <col min="1" max="1" width="39" customWidth="1"/>
    <col min="2" max="26" width="13" customWidth="1"/>
  </cols>
  <sheetData>
    <row r="1" spans="1:26" ht="18">
      <c r="A1" s="6" t="s">
        <v>2</v>
      </c>
    </row>
    <row r="2" spans="1:26" ht="33">
      <c r="A2" s="1" t="s">
        <v>104</v>
      </c>
      <c r="B2" s="11">
        <f>EDATE(Assumptions!$B$3,0)</f>
        <v>46327</v>
      </c>
      <c r="C2" s="11">
        <f>EDATE(Assumptions!$B$3,1)</f>
        <v>46357</v>
      </c>
      <c r="D2" s="11">
        <f>EDATE(Assumptions!$B$3,2)</f>
        <v>46388</v>
      </c>
      <c r="E2" s="11">
        <f>EDATE(Assumptions!$B$3,3)</f>
        <v>46419</v>
      </c>
      <c r="F2" s="11">
        <f>EDATE(Assumptions!$B$3,4)</f>
        <v>46447</v>
      </c>
      <c r="G2" s="11">
        <f>EDATE(Assumptions!$B$3,5)</f>
        <v>46478</v>
      </c>
      <c r="H2" s="11">
        <f>EDATE(Assumptions!$B$3,6)</f>
        <v>46508</v>
      </c>
      <c r="I2" s="11">
        <f>EDATE(Assumptions!$B$3,7)</f>
        <v>46539</v>
      </c>
      <c r="J2" s="11">
        <f>EDATE(Assumptions!$B$3,8)</f>
        <v>46569</v>
      </c>
      <c r="K2" s="11">
        <f>EDATE(Assumptions!$B$3,9)</f>
        <v>46600</v>
      </c>
      <c r="L2" s="11">
        <f>EDATE(Assumptions!$B$3,10)</f>
        <v>46631</v>
      </c>
      <c r="M2" s="11">
        <f>EDATE(Assumptions!$B$3,11)</f>
        <v>46661</v>
      </c>
      <c r="N2" s="11">
        <f>EDATE(Assumptions!$B$3,12)</f>
        <v>46692</v>
      </c>
      <c r="O2" s="11">
        <f>EDATE(Assumptions!$B$3,13)</f>
        <v>46722</v>
      </c>
      <c r="P2" s="11">
        <f>EDATE(Assumptions!$B$3,14)</f>
        <v>46753</v>
      </c>
      <c r="Q2" s="11">
        <f>EDATE(Assumptions!$B$3,15)</f>
        <v>46784</v>
      </c>
      <c r="R2" s="11">
        <f>EDATE(Assumptions!$B$3,16)</f>
        <v>46813</v>
      </c>
      <c r="S2" s="11">
        <f>EDATE(Assumptions!$B$3,17)</f>
        <v>46844</v>
      </c>
      <c r="T2" s="11">
        <f>EDATE(Assumptions!$B$3,18)</f>
        <v>46874</v>
      </c>
      <c r="U2" s="11">
        <f>EDATE(Assumptions!$B$3,19)</f>
        <v>46905</v>
      </c>
      <c r="V2" s="11">
        <f>EDATE(Assumptions!$B$3,20)</f>
        <v>46935</v>
      </c>
      <c r="W2" s="11">
        <f>EDATE(Assumptions!$B$3,21)</f>
        <v>46966</v>
      </c>
      <c r="X2" s="11">
        <f>EDATE(Assumptions!$B$3,22)</f>
        <v>46997</v>
      </c>
      <c r="Y2" s="11">
        <f>EDATE(Assumptions!$B$3,23)</f>
        <v>47027</v>
      </c>
      <c r="Z2" s="1" t="s">
        <v>105</v>
      </c>
    </row>
    <row r="3" spans="1:26" ht="16.5">
      <c r="A3" s="1" t="s">
        <v>106</v>
      </c>
      <c r="B3" s="4">
        <f>IF(1&gt;=Usage!$B$18,ROUND(Assumptions!B47*Assumptions!$B$20,0),0)</f>
        <v>0</v>
      </c>
      <c r="C3" s="4">
        <f>IF(2&gt;=Usage!$B$18,ROUND(Assumptions!B48*Assumptions!$B$20,0),0)</f>
        <v>0</v>
      </c>
      <c r="D3" s="4">
        <f>IF(3&gt;=Usage!$B$18,ROUND(Assumptions!B49*Assumptions!$B$20,0),0)</f>
        <v>0</v>
      </c>
      <c r="E3" s="4">
        <f>IF(4&gt;=Usage!$B$18,ROUND(Assumptions!B50*Assumptions!$B$20,0),0)</f>
        <v>0</v>
      </c>
      <c r="F3" s="4">
        <f>IF(5&gt;=Usage!$B$18,ROUND(Assumptions!B51*Assumptions!$B$20,0),0)</f>
        <v>0</v>
      </c>
      <c r="G3" s="4">
        <f>IF(6&gt;=Usage!$B$18,ROUND(Assumptions!B52*Assumptions!$B$20,0),0)</f>
        <v>0</v>
      </c>
      <c r="H3" s="4">
        <f>IF(7&gt;=Usage!$B$18,ROUND(Assumptions!B53*Assumptions!$B$20,0),0)</f>
        <v>0</v>
      </c>
      <c r="I3" s="4">
        <f>IF(8&gt;=Usage!$B$18,ROUND(Assumptions!B54*Assumptions!$B$20,0),0)</f>
        <v>0</v>
      </c>
      <c r="J3" s="4">
        <f>IF(9&gt;=Usage!$B$18,ROUND(Assumptions!B55*Assumptions!$B$20,0),0)</f>
        <v>0</v>
      </c>
      <c r="K3" s="4">
        <f>IF(10&gt;=Usage!$B$18,ROUND(Assumptions!B56*Assumptions!$B$20,0),0)</f>
        <v>0</v>
      </c>
      <c r="L3" s="4">
        <f>IF(11&gt;=Usage!$B$18,ROUND(Assumptions!B57*Assumptions!$B$20,0),0)</f>
        <v>0</v>
      </c>
      <c r="M3" s="4">
        <f>IF(12&gt;=Usage!$B$18,ROUND(Assumptions!B58*Assumptions!$B$20,0),0)</f>
        <v>0</v>
      </c>
      <c r="N3" s="4">
        <f>IF(13&gt;=Usage!$B$18,ROUND(Assumptions!B59*Assumptions!$B$20,0),0)</f>
        <v>0</v>
      </c>
      <c r="O3" s="4">
        <f>IF(14&gt;=Usage!$B$18,ROUND(Assumptions!B60*Assumptions!$B$20,0),0)</f>
        <v>0</v>
      </c>
      <c r="P3" s="4">
        <f>IF(15&gt;=Usage!$B$18,ROUND(Assumptions!B61*Assumptions!$B$20,0),0)</f>
        <v>0</v>
      </c>
      <c r="Q3" s="4">
        <f>IF(16&gt;=Usage!$B$18,ROUND(Assumptions!B62*Assumptions!$B$20,0),0)</f>
        <v>0</v>
      </c>
      <c r="R3" s="4">
        <f>IF(17&gt;=Usage!$B$18,ROUND(Assumptions!B63*Assumptions!$B$20,0),0)</f>
        <v>0</v>
      </c>
      <c r="S3" s="4">
        <f>IF(18&gt;=Usage!$B$18,ROUND(Assumptions!B64*Assumptions!$B$20,0),0)</f>
        <v>0</v>
      </c>
      <c r="T3" s="4">
        <f>IF(19&gt;=Usage!$B$18,ROUND(Assumptions!B65*Assumptions!$B$20,0),0)</f>
        <v>120</v>
      </c>
      <c r="U3" s="4">
        <f>IF(20&gt;=Usage!$B$18,ROUND(Assumptions!B66*Assumptions!$B$20,0),0)</f>
        <v>120</v>
      </c>
      <c r="V3" s="4">
        <f>IF(21&gt;=Usage!$B$18,ROUND(Assumptions!B67*Assumptions!$B$20,0),0)</f>
        <v>120</v>
      </c>
      <c r="W3" s="4">
        <f>IF(22&gt;=Usage!$B$18,ROUND(Assumptions!B68*Assumptions!$B$20,0),0)</f>
        <v>240</v>
      </c>
      <c r="X3" s="4">
        <f>IF(23&gt;=Usage!$B$18,ROUND(Assumptions!B69*Assumptions!$B$20,0),0)</f>
        <v>240</v>
      </c>
      <c r="Y3" s="4">
        <f>IF(24&gt;=Usage!$B$18,ROUND(Assumptions!B70*Assumptions!$B$20,0),0)</f>
        <v>240</v>
      </c>
      <c r="Z3" s="4">
        <f>SUM(B3:Y3)</f>
        <v>1080</v>
      </c>
    </row>
    <row r="4" spans="1:26" ht="16.5">
      <c r="A4" s="1" t="s">
        <v>107</v>
      </c>
      <c r="B4" s="4">
        <f>IF(1&gt;=Usage!$B$18,ROUND(Assumptions!C47*Assumptions!$B$20,0),0)</f>
        <v>0</v>
      </c>
      <c r="C4" s="4">
        <f>IF(2&gt;=Usage!$B$18,ROUND(Assumptions!C48*Assumptions!$B$20,0),0)</f>
        <v>0</v>
      </c>
      <c r="D4" s="4">
        <f>IF(3&gt;=Usage!$B$18,ROUND(Assumptions!C49*Assumptions!$B$20,0),0)</f>
        <v>0</v>
      </c>
      <c r="E4" s="4">
        <f>IF(4&gt;=Usage!$B$18,ROUND(Assumptions!C50*Assumptions!$B$20,0),0)</f>
        <v>0</v>
      </c>
      <c r="F4" s="4">
        <f>IF(5&gt;=Usage!$B$18,ROUND(Assumptions!C51*Assumptions!$B$20,0),0)</f>
        <v>0</v>
      </c>
      <c r="G4" s="4">
        <f>IF(6&gt;=Usage!$B$18,ROUND(Assumptions!C52*Assumptions!$B$20,0),0)</f>
        <v>0</v>
      </c>
      <c r="H4" s="4">
        <f>IF(7&gt;=Usage!$B$18,ROUND(Assumptions!C53*Assumptions!$B$20,0),0)</f>
        <v>0</v>
      </c>
      <c r="I4" s="4">
        <f>IF(8&gt;=Usage!$B$18,ROUND(Assumptions!C54*Assumptions!$B$20,0),0)</f>
        <v>0</v>
      </c>
      <c r="J4" s="4">
        <f>IF(9&gt;=Usage!$B$18,ROUND(Assumptions!C55*Assumptions!$B$20,0),0)</f>
        <v>0</v>
      </c>
      <c r="K4" s="4">
        <f>IF(10&gt;=Usage!$B$18,ROUND(Assumptions!C56*Assumptions!$B$20,0),0)</f>
        <v>0</v>
      </c>
      <c r="L4" s="4">
        <f>IF(11&gt;=Usage!$B$18,ROUND(Assumptions!C57*Assumptions!$B$20,0),0)</f>
        <v>0</v>
      </c>
      <c r="M4" s="4">
        <f>IF(12&gt;=Usage!$B$18,ROUND(Assumptions!C58*Assumptions!$B$20,0),0)</f>
        <v>0</v>
      </c>
      <c r="N4" s="4">
        <f>IF(13&gt;=Usage!$B$18,ROUND(Assumptions!C59*Assumptions!$B$20,0),0)</f>
        <v>0</v>
      </c>
      <c r="O4" s="4">
        <f>IF(14&gt;=Usage!$B$18,ROUND(Assumptions!C60*Assumptions!$B$20,0),0)</f>
        <v>0</v>
      </c>
      <c r="P4" s="4">
        <f>IF(15&gt;=Usage!$B$18,ROUND(Assumptions!C61*Assumptions!$B$20,0),0)</f>
        <v>0</v>
      </c>
      <c r="Q4" s="4">
        <f>IF(16&gt;=Usage!$B$18,ROUND(Assumptions!C62*Assumptions!$B$20,0),0)</f>
        <v>0</v>
      </c>
      <c r="R4" s="4">
        <f>IF(17&gt;=Usage!$B$18,ROUND(Assumptions!C63*Assumptions!$B$20,0),0)</f>
        <v>0</v>
      </c>
      <c r="S4" s="4">
        <f>IF(18&gt;=Usage!$B$18,ROUND(Assumptions!C64*Assumptions!$B$20,0),0)</f>
        <v>0</v>
      </c>
      <c r="T4" s="4">
        <f>IF(19&gt;=Usage!$B$18,ROUND(Assumptions!C65*Assumptions!$B$20,0),0)</f>
        <v>16</v>
      </c>
      <c r="U4" s="4">
        <f>IF(20&gt;=Usage!$B$18,ROUND(Assumptions!C66*Assumptions!$B$20,0),0)</f>
        <v>16</v>
      </c>
      <c r="V4" s="4">
        <f>IF(21&gt;=Usage!$B$18,ROUND(Assumptions!C67*Assumptions!$B$20,0),0)</f>
        <v>16</v>
      </c>
      <c r="W4" s="4">
        <f>IF(22&gt;=Usage!$B$18,ROUND(Assumptions!C68*Assumptions!$B$20,0),0)</f>
        <v>24</v>
      </c>
      <c r="X4" s="4">
        <f>IF(23&gt;=Usage!$B$18,ROUND(Assumptions!C69*Assumptions!$B$20,0),0)</f>
        <v>24</v>
      </c>
      <c r="Y4" s="4">
        <f>IF(24&gt;=Usage!$B$18,ROUND(Assumptions!C70*Assumptions!$B$20,0),0)</f>
        <v>24</v>
      </c>
      <c r="Z4" s="4">
        <f>SUM(B4:Y4)</f>
        <v>120</v>
      </c>
    </row>
    <row r="5" spans="1:26" ht="16.5">
      <c r="A5" s="1" t="s">
        <v>108</v>
      </c>
      <c r="B5" s="4">
        <f>IF(1&gt;=Usage!$B$18,ROUND(Assumptions!D47*Assumptions!$B$20,0),0)</f>
        <v>0</v>
      </c>
      <c r="C5" s="4">
        <f>IF(2&gt;=Usage!$B$18,ROUND(Assumptions!D48*Assumptions!$B$20,0),0)</f>
        <v>0</v>
      </c>
      <c r="D5" s="4">
        <f>IF(3&gt;=Usage!$B$18,ROUND(Assumptions!D49*Assumptions!$B$20,0),0)</f>
        <v>0</v>
      </c>
      <c r="E5" s="4">
        <f>IF(4&gt;=Usage!$B$18,ROUND(Assumptions!D50*Assumptions!$B$20,0),0)</f>
        <v>0</v>
      </c>
      <c r="F5" s="4">
        <f>IF(5&gt;=Usage!$B$18,ROUND(Assumptions!D51*Assumptions!$B$20,0),0)</f>
        <v>0</v>
      </c>
      <c r="G5" s="4">
        <f>IF(6&gt;=Usage!$B$18,ROUND(Assumptions!D52*Assumptions!$B$20,0),0)</f>
        <v>0</v>
      </c>
      <c r="H5" s="4">
        <f>IF(7&gt;=Usage!$B$18,ROUND(Assumptions!D53*Assumptions!$B$20,0),0)</f>
        <v>0</v>
      </c>
      <c r="I5" s="4">
        <f>IF(8&gt;=Usage!$B$18,ROUND(Assumptions!D54*Assumptions!$B$20,0),0)</f>
        <v>0</v>
      </c>
      <c r="J5" s="4">
        <f>IF(9&gt;=Usage!$B$18,ROUND(Assumptions!D55*Assumptions!$B$20,0),0)</f>
        <v>0</v>
      </c>
      <c r="K5" s="4">
        <f>IF(10&gt;=Usage!$B$18,ROUND(Assumptions!D56*Assumptions!$B$20,0),0)</f>
        <v>0</v>
      </c>
      <c r="L5" s="4">
        <f>IF(11&gt;=Usage!$B$18,ROUND(Assumptions!D57*Assumptions!$B$20,0),0)</f>
        <v>0</v>
      </c>
      <c r="M5" s="4">
        <f>IF(12&gt;=Usage!$B$18,ROUND(Assumptions!D58*Assumptions!$B$20,0),0)</f>
        <v>0</v>
      </c>
      <c r="N5" s="4">
        <f>IF(13&gt;=Usage!$B$18,ROUND(Assumptions!D59*Assumptions!$B$20,0),0)</f>
        <v>0</v>
      </c>
      <c r="O5" s="4">
        <f>IF(14&gt;=Usage!$B$18,ROUND(Assumptions!D60*Assumptions!$B$20,0),0)</f>
        <v>0</v>
      </c>
      <c r="P5" s="4">
        <f>IF(15&gt;=Usage!$B$18,ROUND(Assumptions!D61*Assumptions!$B$20,0),0)</f>
        <v>0</v>
      </c>
      <c r="Q5" s="4">
        <f>IF(16&gt;=Usage!$B$18,ROUND(Assumptions!D62*Assumptions!$B$20,0),0)</f>
        <v>0</v>
      </c>
      <c r="R5" s="4">
        <f>IF(17&gt;=Usage!$B$18,ROUND(Assumptions!D63*Assumptions!$B$20,0),0)</f>
        <v>0</v>
      </c>
      <c r="S5" s="4">
        <f>IF(18&gt;=Usage!$B$18,ROUND(Assumptions!D64*Assumptions!$B$20,0),0)</f>
        <v>0</v>
      </c>
      <c r="T5" s="4">
        <f>IF(19&gt;=Usage!$B$18,ROUND(Assumptions!D65*Assumptions!$B$20,0),0)</f>
        <v>100</v>
      </c>
      <c r="U5" s="4">
        <f>IF(20&gt;=Usage!$B$18,ROUND(Assumptions!D66*Assumptions!$B$20,0),0)</f>
        <v>100</v>
      </c>
      <c r="V5" s="4">
        <f>IF(21&gt;=Usage!$B$18,ROUND(Assumptions!D67*Assumptions!$B$20,0),0)</f>
        <v>100</v>
      </c>
      <c r="W5" s="4">
        <f>IF(22&gt;=Usage!$B$18,ROUND(Assumptions!D68*Assumptions!$B$20,0),0)</f>
        <v>200</v>
      </c>
      <c r="X5" s="4">
        <f>IF(23&gt;=Usage!$B$18,ROUND(Assumptions!D69*Assumptions!$B$20,0),0)</f>
        <v>200</v>
      </c>
      <c r="Y5" s="4">
        <f>IF(24&gt;=Usage!$B$18,ROUND(Assumptions!D70*Assumptions!$B$20,0),0)</f>
        <v>200</v>
      </c>
      <c r="Z5" s="4">
        <f>SUM(B5:Y5)</f>
        <v>900</v>
      </c>
    </row>
    <row r="6" spans="1:26" ht="16.5">
      <c r="A6" s="1" t="s">
        <v>109</v>
      </c>
      <c r="B6" s="4">
        <f t="shared" ref="B6:Y6" si="0">SUM(B3:B5)</f>
        <v>0</v>
      </c>
      <c r="C6" s="4">
        <f t="shared" si="0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236</v>
      </c>
      <c r="U6" s="4">
        <f t="shared" si="0"/>
        <v>236</v>
      </c>
      <c r="V6" s="4">
        <f t="shared" si="0"/>
        <v>236</v>
      </c>
      <c r="W6" s="4">
        <f t="shared" si="0"/>
        <v>464</v>
      </c>
      <c r="X6" s="4">
        <f t="shared" si="0"/>
        <v>464</v>
      </c>
      <c r="Y6" s="4">
        <f t="shared" si="0"/>
        <v>464</v>
      </c>
      <c r="Z6" s="4">
        <f>Y6</f>
        <v>464</v>
      </c>
    </row>
    <row r="7" spans="1:26" ht="16.5">
      <c r="A7" s="1" t="s">
        <v>110</v>
      </c>
      <c r="B7" s="4">
        <f>B3*Assumptions!$B$29*Assumptions!$B$21</f>
        <v>0</v>
      </c>
      <c r="C7" s="4">
        <f>C3*Assumptions!$B$29*Assumptions!$B$21</f>
        <v>0</v>
      </c>
      <c r="D7" s="4">
        <f>D3*Assumptions!$B$29*Assumptions!$B$21</f>
        <v>0</v>
      </c>
      <c r="E7" s="4">
        <f>E3*Assumptions!$B$29*Assumptions!$B$21</f>
        <v>0</v>
      </c>
      <c r="F7" s="4">
        <f>F3*Assumptions!$B$29*Assumptions!$B$21</f>
        <v>0</v>
      </c>
      <c r="G7" s="4">
        <f>G3*Assumptions!$B$29*Assumptions!$B$21</f>
        <v>0</v>
      </c>
      <c r="H7" s="4">
        <f>H3*Assumptions!$B$29*Assumptions!$B$21</f>
        <v>0</v>
      </c>
      <c r="I7" s="4">
        <f>I3*Assumptions!$B$29*Assumptions!$B$21</f>
        <v>0</v>
      </c>
      <c r="J7" s="4">
        <f>J3*Assumptions!$B$29*Assumptions!$B$21</f>
        <v>0</v>
      </c>
      <c r="K7" s="4">
        <f>K3*Assumptions!$B$29*Assumptions!$B$21</f>
        <v>0</v>
      </c>
      <c r="L7" s="4">
        <f>L3*Assumptions!$B$29*Assumptions!$B$21</f>
        <v>0</v>
      </c>
      <c r="M7" s="4">
        <f>M3*Assumptions!$B$29*Assumptions!$B$21</f>
        <v>0</v>
      </c>
      <c r="N7" s="4">
        <f>N3*Assumptions!$B$29*Assumptions!$B$21</f>
        <v>0</v>
      </c>
      <c r="O7" s="4">
        <f>O3*Assumptions!$B$29*Assumptions!$B$21</f>
        <v>0</v>
      </c>
      <c r="P7" s="4">
        <f>P3*Assumptions!$B$29*Assumptions!$B$21</f>
        <v>0</v>
      </c>
      <c r="Q7" s="4">
        <f>Q3*Assumptions!$B$29*Assumptions!$B$21</f>
        <v>0</v>
      </c>
      <c r="R7" s="4">
        <f>R3*Assumptions!$B$29*Assumptions!$B$21</f>
        <v>0</v>
      </c>
      <c r="S7" s="4">
        <f>S3*Assumptions!$B$29*Assumptions!$B$21</f>
        <v>0</v>
      </c>
      <c r="T7" s="4">
        <f>T3*Assumptions!$B$29*Assumptions!$B$21</f>
        <v>304.75116000000003</v>
      </c>
      <c r="U7" s="4">
        <f>U3*Assumptions!$B$29*Assumptions!$B$21</f>
        <v>304.75116000000003</v>
      </c>
      <c r="V7" s="4">
        <f>V3*Assumptions!$B$29*Assumptions!$B$21</f>
        <v>304.75116000000003</v>
      </c>
      <c r="W7" s="4">
        <f>W3*Assumptions!$B$29*Assumptions!$B$21</f>
        <v>609.50232000000005</v>
      </c>
      <c r="X7" s="4">
        <f>X3*Assumptions!$B$29*Assumptions!$B$21</f>
        <v>609.50232000000005</v>
      </c>
      <c r="Y7" s="4">
        <f>Y3*Assumptions!$B$29*Assumptions!$B$21</f>
        <v>609.50232000000005</v>
      </c>
      <c r="Z7" s="4">
        <f>SUM(B7:Y7)</f>
        <v>2742.7604400000005</v>
      </c>
    </row>
    <row r="8" spans="1:26" ht="16.5">
      <c r="A8" s="1" t="s">
        <v>111</v>
      </c>
      <c r="B8" s="4">
        <f>B4*Assumptions!$B$30*Assumptions!$B$21</f>
        <v>0</v>
      </c>
      <c r="C8" s="4">
        <f>C4*Assumptions!$B$30*Assumptions!$B$21</f>
        <v>0</v>
      </c>
      <c r="D8" s="4">
        <f>D4*Assumptions!$B$30*Assumptions!$B$21</f>
        <v>0</v>
      </c>
      <c r="E8" s="4">
        <f>E4*Assumptions!$B$30*Assumptions!$B$21</f>
        <v>0</v>
      </c>
      <c r="F8" s="4">
        <f>F4*Assumptions!$B$30*Assumptions!$B$21</f>
        <v>0</v>
      </c>
      <c r="G8" s="4">
        <f>G4*Assumptions!$B$30*Assumptions!$B$21</f>
        <v>0</v>
      </c>
      <c r="H8" s="4">
        <f>H4*Assumptions!$B$30*Assumptions!$B$21</f>
        <v>0</v>
      </c>
      <c r="I8" s="4">
        <f>I4*Assumptions!$B$30*Assumptions!$B$21</f>
        <v>0</v>
      </c>
      <c r="J8" s="4">
        <f>J4*Assumptions!$B$30*Assumptions!$B$21</f>
        <v>0</v>
      </c>
      <c r="K8" s="4">
        <f>K4*Assumptions!$B$30*Assumptions!$B$21</f>
        <v>0</v>
      </c>
      <c r="L8" s="4">
        <f>L4*Assumptions!$B$30*Assumptions!$B$21</f>
        <v>0</v>
      </c>
      <c r="M8" s="4">
        <f>M4*Assumptions!$B$30*Assumptions!$B$21</f>
        <v>0</v>
      </c>
      <c r="N8" s="4">
        <f>N4*Assumptions!$B$30*Assumptions!$B$21</f>
        <v>0</v>
      </c>
      <c r="O8" s="4">
        <f>O4*Assumptions!$B$30*Assumptions!$B$21</f>
        <v>0</v>
      </c>
      <c r="P8" s="4">
        <f>P4*Assumptions!$B$30*Assumptions!$B$21</f>
        <v>0</v>
      </c>
      <c r="Q8" s="4">
        <f>Q4*Assumptions!$B$30*Assumptions!$B$21</f>
        <v>0</v>
      </c>
      <c r="R8" s="4">
        <f>R4*Assumptions!$B$30*Assumptions!$B$21</f>
        <v>0</v>
      </c>
      <c r="S8" s="4">
        <f>S4*Assumptions!$B$30*Assumptions!$B$21</f>
        <v>0</v>
      </c>
      <c r="T8" s="4">
        <f>T4*Assumptions!$B$30*Assumptions!$B$21</f>
        <v>243.800928</v>
      </c>
      <c r="U8" s="4">
        <f>U4*Assumptions!$B$30*Assumptions!$B$21</f>
        <v>243.800928</v>
      </c>
      <c r="V8" s="4">
        <f>V4*Assumptions!$B$30*Assumptions!$B$21</f>
        <v>243.800928</v>
      </c>
      <c r="W8" s="4">
        <f>W4*Assumptions!$B$30*Assumptions!$B$21</f>
        <v>365.701392</v>
      </c>
      <c r="X8" s="4">
        <f>X4*Assumptions!$B$30*Assumptions!$B$21</f>
        <v>365.701392</v>
      </c>
      <c r="Y8" s="4">
        <f>Y4*Assumptions!$B$30*Assumptions!$B$21</f>
        <v>365.701392</v>
      </c>
      <c r="Z8" s="4">
        <f>SUM(B8:Y8)</f>
        <v>1828.5069599999999</v>
      </c>
    </row>
    <row r="9" spans="1:26" ht="16.5">
      <c r="A9" s="1" t="s">
        <v>112</v>
      </c>
      <c r="B9" s="4">
        <f>B5*Assumptions!$B$31*Assumptions!$B$21</f>
        <v>0</v>
      </c>
      <c r="C9" s="4">
        <f>C5*Assumptions!$B$31*Assumptions!$B$21</f>
        <v>0</v>
      </c>
      <c r="D9" s="4">
        <f>D5*Assumptions!$B$31*Assumptions!$B$21</f>
        <v>0</v>
      </c>
      <c r="E9" s="4">
        <f>E5*Assumptions!$B$31*Assumptions!$B$21</f>
        <v>0</v>
      </c>
      <c r="F9" s="4">
        <f>F5*Assumptions!$B$31*Assumptions!$B$21</f>
        <v>0</v>
      </c>
      <c r="G9" s="4">
        <f>G5*Assumptions!$B$31*Assumptions!$B$21</f>
        <v>0</v>
      </c>
      <c r="H9" s="4">
        <f>H5*Assumptions!$B$31*Assumptions!$B$21</f>
        <v>0</v>
      </c>
      <c r="I9" s="4">
        <f>I5*Assumptions!$B$31*Assumptions!$B$21</f>
        <v>0</v>
      </c>
      <c r="J9" s="4">
        <f>J5*Assumptions!$B$31*Assumptions!$B$21</f>
        <v>0</v>
      </c>
      <c r="K9" s="4">
        <f>K5*Assumptions!$B$31*Assumptions!$B$21</f>
        <v>0</v>
      </c>
      <c r="L9" s="4">
        <f>L5*Assumptions!$B$31*Assumptions!$B$21</f>
        <v>0</v>
      </c>
      <c r="M9" s="4">
        <f>M5*Assumptions!$B$31*Assumptions!$B$21</f>
        <v>0</v>
      </c>
      <c r="N9" s="4">
        <f>N5*Assumptions!$B$31*Assumptions!$B$21</f>
        <v>0</v>
      </c>
      <c r="O9" s="4">
        <f>O5*Assumptions!$B$31*Assumptions!$B$21</f>
        <v>0</v>
      </c>
      <c r="P9" s="4">
        <f>P5*Assumptions!$B$31*Assumptions!$B$21</f>
        <v>0</v>
      </c>
      <c r="Q9" s="4">
        <f>Q5*Assumptions!$B$31*Assumptions!$B$21</f>
        <v>0</v>
      </c>
      <c r="R9" s="4">
        <f>R5*Assumptions!$B$31*Assumptions!$B$21</f>
        <v>0</v>
      </c>
      <c r="S9" s="4">
        <f>S5*Assumptions!$B$31*Assumptions!$B$21</f>
        <v>0</v>
      </c>
      <c r="T9" s="4">
        <f>T5*Assumptions!$B$31*Assumptions!$B$21</f>
        <v>101026.5</v>
      </c>
      <c r="U9" s="4">
        <f>U5*Assumptions!$B$31*Assumptions!$B$21</f>
        <v>101026.5</v>
      </c>
      <c r="V9" s="4">
        <f>V5*Assumptions!$B$31*Assumptions!$B$21</f>
        <v>101026.5</v>
      </c>
      <c r="W9" s="4">
        <f>W5*Assumptions!$B$31*Assumptions!$B$21</f>
        <v>202053</v>
      </c>
      <c r="X9" s="4">
        <f>X5*Assumptions!$B$31*Assumptions!$B$21</f>
        <v>202053</v>
      </c>
      <c r="Y9" s="4">
        <f>Y5*Assumptions!$B$31*Assumptions!$B$21</f>
        <v>202053</v>
      </c>
      <c r="Z9" s="4">
        <f>SUM(B9:Y9)</f>
        <v>909238.5</v>
      </c>
    </row>
    <row r="10" spans="1:26" ht="16.5">
      <c r="A10" s="1" t="s">
        <v>113</v>
      </c>
      <c r="B10" s="4">
        <f t="shared" ref="B10:Y10" si="1">SUM(B7:B9)</f>
        <v>0</v>
      </c>
      <c r="C10" s="4">
        <f t="shared" si="1"/>
        <v>0</v>
      </c>
      <c r="D10" s="4">
        <f t="shared" si="1"/>
        <v>0</v>
      </c>
      <c r="E10" s="4">
        <f t="shared" si="1"/>
        <v>0</v>
      </c>
      <c r="F10" s="4">
        <f t="shared" si="1"/>
        <v>0</v>
      </c>
      <c r="G10" s="4">
        <f t="shared" si="1"/>
        <v>0</v>
      </c>
      <c r="H10" s="4">
        <f t="shared" si="1"/>
        <v>0</v>
      </c>
      <c r="I10" s="4">
        <f t="shared" si="1"/>
        <v>0</v>
      </c>
      <c r="J10" s="4">
        <f t="shared" si="1"/>
        <v>0</v>
      </c>
      <c r="K10" s="4">
        <f t="shared" si="1"/>
        <v>0</v>
      </c>
      <c r="L10" s="4">
        <f t="shared" si="1"/>
        <v>0</v>
      </c>
      <c r="M10" s="4">
        <f t="shared" si="1"/>
        <v>0</v>
      </c>
      <c r="N10" s="4">
        <f t="shared" si="1"/>
        <v>0</v>
      </c>
      <c r="O10" s="4">
        <f t="shared" si="1"/>
        <v>0</v>
      </c>
      <c r="P10" s="4">
        <f t="shared" si="1"/>
        <v>0</v>
      </c>
      <c r="Q10" s="4">
        <f t="shared" si="1"/>
        <v>0</v>
      </c>
      <c r="R10" s="4">
        <f t="shared" si="1"/>
        <v>0</v>
      </c>
      <c r="S10" s="4">
        <f t="shared" si="1"/>
        <v>0</v>
      </c>
      <c r="T10" s="4">
        <f t="shared" si="1"/>
        <v>101575.052088</v>
      </c>
      <c r="U10" s="4">
        <f t="shared" si="1"/>
        <v>101575.052088</v>
      </c>
      <c r="V10" s="4">
        <f t="shared" si="1"/>
        <v>101575.052088</v>
      </c>
      <c r="W10" s="4">
        <f t="shared" si="1"/>
        <v>203028.20371199999</v>
      </c>
      <c r="X10" s="4">
        <f t="shared" si="1"/>
        <v>203028.20371199999</v>
      </c>
      <c r="Y10" s="4">
        <f t="shared" si="1"/>
        <v>203028.20371199999</v>
      </c>
      <c r="Z10" s="4">
        <f>SUM(B10:Y10)</f>
        <v>913809.76740000001</v>
      </c>
    </row>
    <row r="15" spans="1:26" ht="18">
      <c r="A15" s="6" t="s">
        <v>3</v>
      </c>
    </row>
    <row r="16" spans="1:26" ht="33">
      <c r="A16" s="1" t="s">
        <v>104</v>
      </c>
      <c r="B16" s="11">
        <f>EDATE(Assumptions!$B$3,0)</f>
        <v>46327</v>
      </c>
      <c r="C16" s="11">
        <f>EDATE(Assumptions!$B$3,1)</f>
        <v>46357</v>
      </c>
      <c r="D16" s="11">
        <f>EDATE(Assumptions!$B$3,2)</f>
        <v>46388</v>
      </c>
      <c r="E16" s="11">
        <f>EDATE(Assumptions!$B$3,3)</f>
        <v>46419</v>
      </c>
      <c r="F16" s="11">
        <f>EDATE(Assumptions!$B$3,4)</f>
        <v>46447</v>
      </c>
      <c r="G16" s="11">
        <f>EDATE(Assumptions!$B$3,5)</f>
        <v>46478</v>
      </c>
      <c r="H16" s="11">
        <f>EDATE(Assumptions!$B$3,6)</f>
        <v>46508</v>
      </c>
      <c r="I16" s="11">
        <f>EDATE(Assumptions!$B$3,7)</f>
        <v>46539</v>
      </c>
      <c r="J16" s="11">
        <f>EDATE(Assumptions!$B$3,8)</f>
        <v>46569</v>
      </c>
      <c r="K16" s="11">
        <f>EDATE(Assumptions!$B$3,9)</f>
        <v>46600</v>
      </c>
      <c r="L16" s="11">
        <f>EDATE(Assumptions!$B$3,10)</f>
        <v>46631</v>
      </c>
      <c r="M16" s="11">
        <f>EDATE(Assumptions!$B$3,11)</f>
        <v>46661</v>
      </c>
      <c r="N16" s="11">
        <f>EDATE(Assumptions!$B$3,12)</f>
        <v>46692</v>
      </c>
      <c r="O16" s="11">
        <f>EDATE(Assumptions!$B$3,13)</f>
        <v>46722</v>
      </c>
      <c r="P16" s="11">
        <f>EDATE(Assumptions!$B$3,14)</f>
        <v>46753</v>
      </c>
      <c r="Q16" s="11">
        <f>EDATE(Assumptions!$B$3,15)</f>
        <v>46784</v>
      </c>
      <c r="R16" s="11">
        <f>EDATE(Assumptions!$B$3,16)</f>
        <v>46813</v>
      </c>
      <c r="S16" s="11">
        <f>EDATE(Assumptions!$B$3,17)</f>
        <v>46844</v>
      </c>
      <c r="T16" s="11">
        <f>EDATE(Assumptions!$B$3,18)</f>
        <v>46874</v>
      </c>
      <c r="U16" s="11">
        <f>EDATE(Assumptions!$B$3,19)</f>
        <v>46905</v>
      </c>
      <c r="V16" s="11">
        <f>EDATE(Assumptions!$B$3,20)</f>
        <v>46935</v>
      </c>
      <c r="W16" s="11">
        <f>EDATE(Assumptions!$B$3,21)</f>
        <v>46966</v>
      </c>
      <c r="X16" s="11">
        <f>EDATE(Assumptions!$B$3,22)</f>
        <v>46997</v>
      </c>
      <c r="Y16" s="11">
        <f>EDATE(Assumptions!$B$3,23)</f>
        <v>47027</v>
      </c>
      <c r="Z16" s="1" t="s">
        <v>105</v>
      </c>
    </row>
    <row r="17" spans="1:26" ht="16.5">
      <c r="A17" s="1" t="s">
        <v>106</v>
      </c>
      <c r="B17" s="4">
        <f>IF(1&gt;=Usage!$B$18,ROUND(Assumptions!B47*Assumptions!$C$20,0),0)</f>
        <v>0</v>
      </c>
      <c r="C17" s="4">
        <f>IF(2&gt;=Usage!$B$18,ROUND(Assumptions!B48*Assumptions!$C$20,0),0)</f>
        <v>0</v>
      </c>
      <c r="D17" s="4">
        <f>IF(3&gt;=Usage!$B$18,ROUND(Assumptions!B49*Assumptions!$C$20,0),0)</f>
        <v>0</v>
      </c>
      <c r="E17" s="4">
        <f>IF(4&gt;=Usage!$B$18,ROUND(Assumptions!B50*Assumptions!$C$20,0),0)</f>
        <v>0</v>
      </c>
      <c r="F17" s="4">
        <f>IF(5&gt;=Usage!$B$18,ROUND(Assumptions!B51*Assumptions!$C$20,0),0)</f>
        <v>0</v>
      </c>
      <c r="G17" s="4">
        <f>IF(6&gt;=Usage!$B$18,ROUND(Assumptions!B52*Assumptions!$C$20,0),0)</f>
        <v>0</v>
      </c>
      <c r="H17" s="4">
        <f>IF(7&gt;=Usage!$B$18,ROUND(Assumptions!B53*Assumptions!$C$20,0),0)</f>
        <v>0</v>
      </c>
      <c r="I17" s="4">
        <f>IF(8&gt;=Usage!$B$18,ROUND(Assumptions!B54*Assumptions!$C$20,0),0)</f>
        <v>0</v>
      </c>
      <c r="J17" s="4">
        <f>IF(9&gt;=Usage!$B$18,ROUND(Assumptions!B55*Assumptions!$C$20,0),0)</f>
        <v>0</v>
      </c>
      <c r="K17" s="4">
        <f>IF(10&gt;=Usage!$B$18,ROUND(Assumptions!B56*Assumptions!$C$20,0),0)</f>
        <v>0</v>
      </c>
      <c r="L17" s="4">
        <f>IF(11&gt;=Usage!$B$18,ROUND(Assumptions!B57*Assumptions!$C$20,0),0)</f>
        <v>0</v>
      </c>
      <c r="M17" s="4">
        <f>IF(12&gt;=Usage!$B$18,ROUND(Assumptions!B58*Assumptions!$C$20,0),0)</f>
        <v>0</v>
      </c>
      <c r="N17" s="4">
        <f>IF(13&gt;=Usage!$B$18,ROUND(Assumptions!B59*Assumptions!$C$20,0),0)</f>
        <v>0</v>
      </c>
      <c r="O17" s="4">
        <f>IF(14&gt;=Usage!$B$18,ROUND(Assumptions!B60*Assumptions!$C$20,0),0)</f>
        <v>0</v>
      </c>
      <c r="P17" s="4">
        <f>IF(15&gt;=Usage!$B$18,ROUND(Assumptions!B61*Assumptions!$C$20,0),0)</f>
        <v>0</v>
      </c>
      <c r="Q17" s="4">
        <f>IF(16&gt;=Usage!$B$18,ROUND(Assumptions!B62*Assumptions!$C$20,0),0)</f>
        <v>0</v>
      </c>
      <c r="R17" s="4">
        <f>IF(17&gt;=Usage!$B$18,ROUND(Assumptions!B63*Assumptions!$C$20,0),0)</f>
        <v>0</v>
      </c>
      <c r="S17" s="4">
        <f>IF(18&gt;=Usage!$B$18,ROUND(Assumptions!B64*Assumptions!$C$20,0),0)</f>
        <v>0</v>
      </c>
      <c r="T17" s="4">
        <f>IF(19&gt;=Usage!$B$18,ROUND(Assumptions!B65*Assumptions!$C$20,0),0)</f>
        <v>300</v>
      </c>
      <c r="U17" s="4">
        <f>IF(20&gt;=Usage!$B$18,ROUND(Assumptions!B66*Assumptions!$C$20,0),0)</f>
        <v>300</v>
      </c>
      <c r="V17" s="4">
        <f>IF(21&gt;=Usage!$B$18,ROUND(Assumptions!B67*Assumptions!$C$20,0),0)</f>
        <v>300</v>
      </c>
      <c r="W17" s="4">
        <f>IF(22&gt;=Usage!$B$18,ROUND(Assumptions!B68*Assumptions!$C$20,0),0)</f>
        <v>600</v>
      </c>
      <c r="X17" s="4">
        <f>IF(23&gt;=Usage!$B$18,ROUND(Assumptions!B69*Assumptions!$C$20,0),0)</f>
        <v>600</v>
      </c>
      <c r="Y17" s="4">
        <f>IF(24&gt;=Usage!$B$18,ROUND(Assumptions!B70*Assumptions!$C$20,0),0)</f>
        <v>600</v>
      </c>
      <c r="Z17" s="4">
        <f>SUM(B17:Y17)</f>
        <v>2700</v>
      </c>
    </row>
    <row r="18" spans="1:26" ht="16.5">
      <c r="A18" s="1" t="s">
        <v>107</v>
      </c>
      <c r="B18" s="4">
        <f>IF(1&gt;=Usage!$B$18,ROUND(Assumptions!C47*Assumptions!$C$20,0),0)</f>
        <v>0</v>
      </c>
      <c r="C18" s="4">
        <f>IF(2&gt;=Usage!$B$18,ROUND(Assumptions!C48*Assumptions!$C$20,0),0)</f>
        <v>0</v>
      </c>
      <c r="D18" s="4">
        <f>IF(3&gt;=Usage!$B$18,ROUND(Assumptions!C49*Assumptions!$C$20,0),0)</f>
        <v>0</v>
      </c>
      <c r="E18" s="4">
        <f>IF(4&gt;=Usage!$B$18,ROUND(Assumptions!C50*Assumptions!$C$20,0),0)</f>
        <v>0</v>
      </c>
      <c r="F18" s="4">
        <f>IF(5&gt;=Usage!$B$18,ROUND(Assumptions!C51*Assumptions!$C$20,0),0)</f>
        <v>0</v>
      </c>
      <c r="G18" s="4">
        <f>IF(6&gt;=Usage!$B$18,ROUND(Assumptions!C52*Assumptions!$C$20,0),0)</f>
        <v>0</v>
      </c>
      <c r="H18" s="4">
        <f>IF(7&gt;=Usage!$B$18,ROUND(Assumptions!C53*Assumptions!$C$20,0),0)</f>
        <v>0</v>
      </c>
      <c r="I18" s="4">
        <f>IF(8&gt;=Usage!$B$18,ROUND(Assumptions!C54*Assumptions!$C$20,0),0)</f>
        <v>0</v>
      </c>
      <c r="J18" s="4">
        <f>IF(9&gt;=Usage!$B$18,ROUND(Assumptions!C55*Assumptions!$C$20,0),0)</f>
        <v>0</v>
      </c>
      <c r="K18" s="4">
        <f>IF(10&gt;=Usage!$B$18,ROUND(Assumptions!C56*Assumptions!$C$20,0),0)</f>
        <v>0</v>
      </c>
      <c r="L18" s="4">
        <f>IF(11&gt;=Usage!$B$18,ROUND(Assumptions!C57*Assumptions!$C$20,0),0)</f>
        <v>0</v>
      </c>
      <c r="M18" s="4">
        <f>IF(12&gt;=Usage!$B$18,ROUND(Assumptions!C58*Assumptions!$C$20,0),0)</f>
        <v>0</v>
      </c>
      <c r="N18" s="4">
        <f>IF(13&gt;=Usage!$B$18,ROUND(Assumptions!C59*Assumptions!$C$20,0),0)</f>
        <v>0</v>
      </c>
      <c r="O18" s="4">
        <f>IF(14&gt;=Usage!$B$18,ROUND(Assumptions!C60*Assumptions!$C$20,0),0)</f>
        <v>0</v>
      </c>
      <c r="P18" s="4">
        <f>IF(15&gt;=Usage!$B$18,ROUND(Assumptions!C61*Assumptions!$C$20,0),0)</f>
        <v>0</v>
      </c>
      <c r="Q18" s="4">
        <f>IF(16&gt;=Usage!$B$18,ROUND(Assumptions!C62*Assumptions!$C$20,0),0)</f>
        <v>0</v>
      </c>
      <c r="R18" s="4">
        <f>IF(17&gt;=Usage!$B$18,ROUND(Assumptions!C63*Assumptions!$C$20,0),0)</f>
        <v>0</v>
      </c>
      <c r="S18" s="4">
        <f>IF(18&gt;=Usage!$B$18,ROUND(Assumptions!C64*Assumptions!$C$20,0),0)</f>
        <v>0</v>
      </c>
      <c r="T18" s="4">
        <f>IF(19&gt;=Usage!$B$18,ROUND(Assumptions!C65*Assumptions!$C$20,0),0)</f>
        <v>40</v>
      </c>
      <c r="U18" s="4">
        <f>IF(20&gt;=Usage!$B$18,ROUND(Assumptions!C66*Assumptions!$C$20,0),0)</f>
        <v>40</v>
      </c>
      <c r="V18" s="4">
        <f>IF(21&gt;=Usage!$B$18,ROUND(Assumptions!C67*Assumptions!$C$20,0),0)</f>
        <v>40</v>
      </c>
      <c r="W18" s="4">
        <f>IF(22&gt;=Usage!$B$18,ROUND(Assumptions!C68*Assumptions!$C$20,0),0)</f>
        <v>60</v>
      </c>
      <c r="X18" s="4">
        <f>IF(23&gt;=Usage!$B$18,ROUND(Assumptions!C69*Assumptions!$C$20,0),0)</f>
        <v>60</v>
      </c>
      <c r="Y18" s="4">
        <f>IF(24&gt;=Usage!$B$18,ROUND(Assumptions!C70*Assumptions!$C$20,0),0)</f>
        <v>60</v>
      </c>
      <c r="Z18" s="4">
        <f>SUM(B18:Y18)</f>
        <v>300</v>
      </c>
    </row>
    <row r="19" spans="1:26" ht="16.5">
      <c r="A19" s="1" t="s">
        <v>108</v>
      </c>
      <c r="B19" s="4">
        <f>IF(1&gt;=Usage!$B$18,ROUND(Assumptions!D47*Assumptions!$C$20,0),0)</f>
        <v>0</v>
      </c>
      <c r="C19" s="4">
        <f>IF(2&gt;=Usage!$B$18,ROUND(Assumptions!D48*Assumptions!$C$20,0),0)</f>
        <v>0</v>
      </c>
      <c r="D19" s="4">
        <f>IF(3&gt;=Usage!$B$18,ROUND(Assumptions!D49*Assumptions!$C$20,0),0)</f>
        <v>0</v>
      </c>
      <c r="E19" s="4">
        <f>IF(4&gt;=Usage!$B$18,ROUND(Assumptions!D50*Assumptions!$C$20,0),0)</f>
        <v>0</v>
      </c>
      <c r="F19" s="4">
        <f>IF(5&gt;=Usage!$B$18,ROUND(Assumptions!D51*Assumptions!$C$20,0),0)</f>
        <v>0</v>
      </c>
      <c r="G19" s="4">
        <f>IF(6&gt;=Usage!$B$18,ROUND(Assumptions!D52*Assumptions!$C$20,0),0)</f>
        <v>0</v>
      </c>
      <c r="H19" s="4">
        <f>IF(7&gt;=Usage!$B$18,ROUND(Assumptions!D53*Assumptions!$C$20,0),0)</f>
        <v>0</v>
      </c>
      <c r="I19" s="4">
        <f>IF(8&gt;=Usage!$B$18,ROUND(Assumptions!D54*Assumptions!$C$20,0),0)</f>
        <v>0</v>
      </c>
      <c r="J19" s="4">
        <f>IF(9&gt;=Usage!$B$18,ROUND(Assumptions!D55*Assumptions!$C$20,0),0)</f>
        <v>0</v>
      </c>
      <c r="K19" s="4">
        <f>IF(10&gt;=Usage!$B$18,ROUND(Assumptions!D56*Assumptions!$C$20,0),0)</f>
        <v>0</v>
      </c>
      <c r="L19" s="4">
        <f>IF(11&gt;=Usage!$B$18,ROUND(Assumptions!D57*Assumptions!$C$20,0),0)</f>
        <v>0</v>
      </c>
      <c r="M19" s="4">
        <f>IF(12&gt;=Usage!$B$18,ROUND(Assumptions!D58*Assumptions!$C$20,0),0)</f>
        <v>0</v>
      </c>
      <c r="N19" s="4">
        <f>IF(13&gt;=Usage!$B$18,ROUND(Assumptions!D59*Assumptions!$C$20,0),0)</f>
        <v>0</v>
      </c>
      <c r="O19" s="4">
        <f>IF(14&gt;=Usage!$B$18,ROUND(Assumptions!D60*Assumptions!$C$20,0),0)</f>
        <v>0</v>
      </c>
      <c r="P19" s="4">
        <f>IF(15&gt;=Usage!$B$18,ROUND(Assumptions!D61*Assumptions!$C$20,0),0)</f>
        <v>0</v>
      </c>
      <c r="Q19" s="4">
        <f>IF(16&gt;=Usage!$B$18,ROUND(Assumptions!D62*Assumptions!$C$20,0),0)</f>
        <v>0</v>
      </c>
      <c r="R19" s="4">
        <f>IF(17&gt;=Usage!$B$18,ROUND(Assumptions!D63*Assumptions!$C$20,0),0)</f>
        <v>0</v>
      </c>
      <c r="S19" s="4">
        <f>IF(18&gt;=Usage!$B$18,ROUND(Assumptions!D64*Assumptions!$C$20,0),0)</f>
        <v>0</v>
      </c>
      <c r="T19" s="4">
        <f>IF(19&gt;=Usage!$B$18,ROUND(Assumptions!D65*Assumptions!$C$20,0),0)</f>
        <v>250</v>
      </c>
      <c r="U19" s="4">
        <f>IF(20&gt;=Usage!$B$18,ROUND(Assumptions!D66*Assumptions!$C$20,0),0)</f>
        <v>250</v>
      </c>
      <c r="V19" s="4">
        <f>IF(21&gt;=Usage!$B$18,ROUND(Assumptions!D67*Assumptions!$C$20,0),0)</f>
        <v>250</v>
      </c>
      <c r="W19" s="4">
        <f>IF(22&gt;=Usage!$B$18,ROUND(Assumptions!D68*Assumptions!$C$20,0),0)</f>
        <v>500</v>
      </c>
      <c r="X19" s="4">
        <f>IF(23&gt;=Usage!$B$18,ROUND(Assumptions!D69*Assumptions!$C$20,0),0)</f>
        <v>500</v>
      </c>
      <c r="Y19" s="4">
        <f>IF(24&gt;=Usage!$B$18,ROUND(Assumptions!D70*Assumptions!$C$20,0),0)</f>
        <v>500</v>
      </c>
      <c r="Z19" s="4">
        <f>SUM(B19:Y19)</f>
        <v>2250</v>
      </c>
    </row>
    <row r="20" spans="1:26" ht="16.5">
      <c r="A20" s="1" t="s">
        <v>109</v>
      </c>
      <c r="B20" s="4">
        <f t="shared" ref="B20:Y20" si="2">SUM(B17:B19)</f>
        <v>0</v>
      </c>
      <c r="C20" s="4">
        <f t="shared" si="2"/>
        <v>0</v>
      </c>
      <c r="D20" s="4">
        <f t="shared" si="2"/>
        <v>0</v>
      </c>
      <c r="E20" s="4">
        <f t="shared" si="2"/>
        <v>0</v>
      </c>
      <c r="F20" s="4">
        <f t="shared" si="2"/>
        <v>0</v>
      </c>
      <c r="G20" s="4">
        <f t="shared" si="2"/>
        <v>0</v>
      </c>
      <c r="H20" s="4">
        <f t="shared" si="2"/>
        <v>0</v>
      </c>
      <c r="I20" s="4">
        <f t="shared" si="2"/>
        <v>0</v>
      </c>
      <c r="J20" s="4">
        <f t="shared" si="2"/>
        <v>0</v>
      </c>
      <c r="K20" s="4">
        <f t="shared" si="2"/>
        <v>0</v>
      </c>
      <c r="L20" s="4">
        <f t="shared" si="2"/>
        <v>0</v>
      </c>
      <c r="M20" s="4">
        <f t="shared" si="2"/>
        <v>0</v>
      </c>
      <c r="N20" s="4">
        <f t="shared" si="2"/>
        <v>0</v>
      </c>
      <c r="O20" s="4">
        <f t="shared" si="2"/>
        <v>0</v>
      </c>
      <c r="P20" s="4">
        <f t="shared" si="2"/>
        <v>0</v>
      </c>
      <c r="Q20" s="4">
        <f t="shared" si="2"/>
        <v>0</v>
      </c>
      <c r="R20" s="4">
        <f t="shared" si="2"/>
        <v>0</v>
      </c>
      <c r="S20" s="4">
        <f t="shared" si="2"/>
        <v>0</v>
      </c>
      <c r="T20" s="4">
        <f t="shared" si="2"/>
        <v>590</v>
      </c>
      <c r="U20" s="4">
        <f t="shared" si="2"/>
        <v>590</v>
      </c>
      <c r="V20" s="4">
        <f t="shared" si="2"/>
        <v>590</v>
      </c>
      <c r="W20" s="4">
        <f t="shared" si="2"/>
        <v>1160</v>
      </c>
      <c r="X20" s="4">
        <f t="shared" si="2"/>
        <v>1160</v>
      </c>
      <c r="Y20" s="4">
        <f t="shared" si="2"/>
        <v>1160</v>
      </c>
      <c r="Z20" s="4">
        <f>Y20</f>
        <v>1160</v>
      </c>
    </row>
    <row r="21" spans="1:26" ht="16.5">
      <c r="A21" s="1" t="s">
        <v>110</v>
      </c>
      <c r="B21" s="4">
        <f>B17*Assumptions!$B$29*Assumptions!$C$21</f>
        <v>0</v>
      </c>
      <c r="C21" s="4">
        <f>C17*Assumptions!$B$29*Assumptions!$C$21</f>
        <v>0</v>
      </c>
      <c r="D21" s="4">
        <f>D17*Assumptions!$B$29*Assumptions!$C$21</f>
        <v>0</v>
      </c>
      <c r="E21" s="4">
        <f>E17*Assumptions!$B$29*Assumptions!$C$21</f>
        <v>0</v>
      </c>
      <c r="F21" s="4">
        <f>F17*Assumptions!$B$29*Assumptions!$C$21</f>
        <v>0</v>
      </c>
      <c r="G21" s="4">
        <f>G17*Assumptions!$B$29*Assumptions!$C$21</f>
        <v>0</v>
      </c>
      <c r="H21" s="4">
        <f>H17*Assumptions!$B$29*Assumptions!$C$21</f>
        <v>0</v>
      </c>
      <c r="I21" s="4">
        <f>I17*Assumptions!$B$29*Assumptions!$C$21</f>
        <v>0</v>
      </c>
      <c r="J21" s="4">
        <f>J17*Assumptions!$B$29*Assumptions!$C$21</f>
        <v>0</v>
      </c>
      <c r="K21" s="4">
        <f>K17*Assumptions!$B$29*Assumptions!$C$21</f>
        <v>0</v>
      </c>
      <c r="L21" s="4">
        <f>L17*Assumptions!$B$29*Assumptions!$C$21</f>
        <v>0</v>
      </c>
      <c r="M21" s="4">
        <f>M17*Assumptions!$B$29*Assumptions!$C$21</f>
        <v>0</v>
      </c>
      <c r="N21" s="4">
        <f>N17*Assumptions!$B$29*Assumptions!$C$21</f>
        <v>0</v>
      </c>
      <c r="O21" s="4">
        <f>O17*Assumptions!$B$29*Assumptions!$C$21</f>
        <v>0</v>
      </c>
      <c r="P21" s="4">
        <f>P17*Assumptions!$B$29*Assumptions!$C$21</f>
        <v>0</v>
      </c>
      <c r="Q21" s="4">
        <f>Q17*Assumptions!$B$29*Assumptions!$C$21</f>
        <v>0</v>
      </c>
      <c r="R21" s="4">
        <f>R17*Assumptions!$B$29*Assumptions!$C$21</f>
        <v>0</v>
      </c>
      <c r="S21" s="4">
        <f>S17*Assumptions!$B$29*Assumptions!$C$21</f>
        <v>0</v>
      </c>
      <c r="T21" s="4">
        <f>T17*Assumptions!$B$29*Assumptions!$C$21</f>
        <v>1015.8372000000002</v>
      </c>
      <c r="U21" s="4">
        <f>U17*Assumptions!$B$29*Assumptions!$C$21</f>
        <v>1015.8372000000002</v>
      </c>
      <c r="V21" s="4">
        <f>V17*Assumptions!$B$29*Assumptions!$C$21</f>
        <v>1015.8372000000002</v>
      </c>
      <c r="W21" s="4">
        <f>W17*Assumptions!$B$29*Assumptions!$C$21</f>
        <v>2031.6744000000003</v>
      </c>
      <c r="X21" s="4">
        <f>X17*Assumptions!$B$29*Assumptions!$C$21</f>
        <v>2031.6744000000003</v>
      </c>
      <c r="Y21" s="4">
        <f>Y17*Assumptions!$B$29*Assumptions!$C$21</f>
        <v>2031.6744000000003</v>
      </c>
      <c r="Z21" s="4">
        <f>SUM(B21:Y21)</f>
        <v>9142.5348000000013</v>
      </c>
    </row>
    <row r="22" spans="1:26" ht="16.5">
      <c r="A22" s="1" t="s">
        <v>111</v>
      </c>
      <c r="B22" s="4">
        <f>B18*Assumptions!$B$30*Assumptions!$C$21</f>
        <v>0</v>
      </c>
      <c r="C22" s="4">
        <f>C18*Assumptions!$B$30*Assumptions!$C$21</f>
        <v>0</v>
      </c>
      <c r="D22" s="4">
        <f>D18*Assumptions!$B$30*Assumptions!$C$21</f>
        <v>0</v>
      </c>
      <c r="E22" s="4">
        <f>E18*Assumptions!$B$30*Assumptions!$C$21</f>
        <v>0</v>
      </c>
      <c r="F22" s="4">
        <f>F18*Assumptions!$B$30*Assumptions!$C$21</f>
        <v>0</v>
      </c>
      <c r="G22" s="4">
        <f>G18*Assumptions!$B$30*Assumptions!$C$21</f>
        <v>0</v>
      </c>
      <c r="H22" s="4">
        <f>H18*Assumptions!$B$30*Assumptions!$C$21</f>
        <v>0</v>
      </c>
      <c r="I22" s="4">
        <f>I18*Assumptions!$B$30*Assumptions!$C$21</f>
        <v>0</v>
      </c>
      <c r="J22" s="4">
        <f>J18*Assumptions!$B$30*Assumptions!$C$21</f>
        <v>0</v>
      </c>
      <c r="K22" s="4">
        <f>K18*Assumptions!$B$30*Assumptions!$C$21</f>
        <v>0</v>
      </c>
      <c r="L22" s="4">
        <f>L18*Assumptions!$B$30*Assumptions!$C$21</f>
        <v>0</v>
      </c>
      <c r="M22" s="4">
        <f>M18*Assumptions!$B$30*Assumptions!$C$21</f>
        <v>0</v>
      </c>
      <c r="N22" s="4">
        <f>N18*Assumptions!$B$30*Assumptions!$C$21</f>
        <v>0</v>
      </c>
      <c r="O22" s="4">
        <f>O18*Assumptions!$B$30*Assumptions!$C$21</f>
        <v>0</v>
      </c>
      <c r="P22" s="4">
        <f>P18*Assumptions!$B$30*Assumptions!$C$21</f>
        <v>0</v>
      </c>
      <c r="Q22" s="4">
        <f>Q18*Assumptions!$B$30*Assumptions!$C$21</f>
        <v>0</v>
      </c>
      <c r="R22" s="4">
        <f>R18*Assumptions!$B$30*Assumptions!$C$21</f>
        <v>0</v>
      </c>
      <c r="S22" s="4">
        <f>S18*Assumptions!$B$30*Assumptions!$C$21</f>
        <v>0</v>
      </c>
      <c r="T22" s="4">
        <f>T18*Assumptions!$B$30*Assumptions!$C$21</f>
        <v>812.66976</v>
      </c>
      <c r="U22" s="4">
        <f>U18*Assumptions!$B$30*Assumptions!$C$21</f>
        <v>812.66976</v>
      </c>
      <c r="V22" s="4">
        <f>V18*Assumptions!$B$30*Assumptions!$C$21</f>
        <v>812.66976</v>
      </c>
      <c r="W22" s="4">
        <f>W18*Assumptions!$B$30*Assumptions!$C$21</f>
        <v>1219.0046400000001</v>
      </c>
      <c r="X22" s="4">
        <f>X18*Assumptions!$B$30*Assumptions!$C$21</f>
        <v>1219.0046400000001</v>
      </c>
      <c r="Y22" s="4">
        <f>Y18*Assumptions!$B$30*Assumptions!$C$21</f>
        <v>1219.0046400000001</v>
      </c>
      <c r="Z22" s="4">
        <f>SUM(B22:Y22)</f>
        <v>6095.0232000000005</v>
      </c>
    </row>
    <row r="23" spans="1:26" ht="16.5">
      <c r="A23" s="1" t="s">
        <v>112</v>
      </c>
      <c r="B23" s="4">
        <f>B19*Assumptions!$B$31*Assumptions!$C$21</f>
        <v>0</v>
      </c>
      <c r="C23" s="4">
        <f>C19*Assumptions!$B$31*Assumptions!$C$21</f>
        <v>0</v>
      </c>
      <c r="D23" s="4">
        <f>D19*Assumptions!$B$31*Assumptions!$C$21</f>
        <v>0</v>
      </c>
      <c r="E23" s="4">
        <f>E19*Assumptions!$B$31*Assumptions!$C$21</f>
        <v>0</v>
      </c>
      <c r="F23" s="4">
        <f>F19*Assumptions!$B$31*Assumptions!$C$21</f>
        <v>0</v>
      </c>
      <c r="G23" s="4">
        <f>G19*Assumptions!$B$31*Assumptions!$C$21</f>
        <v>0</v>
      </c>
      <c r="H23" s="4">
        <f>H19*Assumptions!$B$31*Assumptions!$C$21</f>
        <v>0</v>
      </c>
      <c r="I23" s="4">
        <f>I19*Assumptions!$B$31*Assumptions!$C$21</f>
        <v>0</v>
      </c>
      <c r="J23" s="4">
        <f>J19*Assumptions!$B$31*Assumptions!$C$21</f>
        <v>0</v>
      </c>
      <c r="K23" s="4">
        <f>K19*Assumptions!$B$31*Assumptions!$C$21</f>
        <v>0</v>
      </c>
      <c r="L23" s="4">
        <f>L19*Assumptions!$B$31*Assumptions!$C$21</f>
        <v>0</v>
      </c>
      <c r="M23" s="4">
        <f>M19*Assumptions!$B$31*Assumptions!$C$21</f>
        <v>0</v>
      </c>
      <c r="N23" s="4">
        <f>N19*Assumptions!$B$31*Assumptions!$C$21</f>
        <v>0</v>
      </c>
      <c r="O23" s="4">
        <f>O19*Assumptions!$B$31*Assumptions!$C$21</f>
        <v>0</v>
      </c>
      <c r="P23" s="4">
        <f>P19*Assumptions!$B$31*Assumptions!$C$21</f>
        <v>0</v>
      </c>
      <c r="Q23" s="4">
        <f>Q19*Assumptions!$B$31*Assumptions!$C$21</f>
        <v>0</v>
      </c>
      <c r="R23" s="4">
        <f>R19*Assumptions!$B$31*Assumptions!$C$21</f>
        <v>0</v>
      </c>
      <c r="S23" s="4">
        <f>S19*Assumptions!$B$31*Assumptions!$C$21</f>
        <v>0</v>
      </c>
      <c r="T23" s="4">
        <f>T19*Assumptions!$B$31*Assumptions!$C$21</f>
        <v>336755</v>
      </c>
      <c r="U23" s="4">
        <f>U19*Assumptions!$B$31*Assumptions!$C$21</f>
        <v>336755</v>
      </c>
      <c r="V23" s="4">
        <f>V19*Assumptions!$B$31*Assumptions!$C$21</f>
        <v>336755</v>
      </c>
      <c r="W23" s="4">
        <f>W19*Assumptions!$B$31*Assumptions!$C$21</f>
        <v>673510</v>
      </c>
      <c r="X23" s="4">
        <f>X19*Assumptions!$B$31*Assumptions!$C$21</f>
        <v>673510</v>
      </c>
      <c r="Y23" s="4">
        <f>Y19*Assumptions!$B$31*Assumptions!$C$21</f>
        <v>673510</v>
      </c>
      <c r="Z23" s="4">
        <f>SUM(B23:Y23)</f>
        <v>3030795</v>
      </c>
    </row>
    <row r="24" spans="1:26" ht="16.5">
      <c r="A24" s="1" t="s">
        <v>113</v>
      </c>
      <c r="B24" s="4">
        <f t="shared" ref="B24:Y24" si="3">SUM(B21:B23)</f>
        <v>0</v>
      </c>
      <c r="C24" s="4">
        <f t="shared" si="3"/>
        <v>0</v>
      </c>
      <c r="D24" s="4">
        <f t="shared" si="3"/>
        <v>0</v>
      </c>
      <c r="E24" s="4">
        <f t="shared" si="3"/>
        <v>0</v>
      </c>
      <c r="F24" s="4">
        <f t="shared" si="3"/>
        <v>0</v>
      </c>
      <c r="G24" s="4">
        <f t="shared" si="3"/>
        <v>0</v>
      </c>
      <c r="H24" s="4">
        <f t="shared" si="3"/>
        <v>0</v>
      </c>
      <c r="I24" s="4">
        <f t="shared" si="3"/>
        <v>0</v>
      </c>
      <c r="J24" s="4">
        <f t="shared" si="3"/>
        <v>0</v>
      </c>
      <c r="K24" s="4">
        <f t="shared" si="3"/>
        <v>0</v>
      </c>
      <c r="L24" s="4">
        <f t="shared" si="3"/>
        <v>0</v>
      </c>
      <c r="M24" s="4">
        <f t="shared" si="3"/>
        <v>0</v>
      </c>
      <c r="N24" s="4">
        <f t="shared" si="3"/>
        <v>0</v>
      </c>
      <c r="O24" s="4">
        <f t="shared" si="3"/>
        <v>0</v>
      </c>
      <c r="P24" s="4">
        <f t="shared" si="3"/>
        <v>0</v>
      </c>
      <c r="Q24" s="4">
        <f t="shared" si="3"/>
        <v>0</v>
      </c>
      <c r="R24" s="4">
        <f t="shared" si="3"/>
        <v>0</v>
      </c>
      <c r="S24" s="4">
        <f t="shared" si="3"/>
        <v>0</v>
      </c>
      <c r="T24" s="4">
        <f t="shared" si="3"/>
        <v>338583.50696000003</v>
      </c>
      <c r="U24" s="4">
        <f t="shared" si="3"/>
        <v>338583.50696000003</v>
      </c>
      <c r="V24" s="4">
        <f t="shared" si="3"/>
        <v>338583.50696000003</v>
      </c>
      <c r="W24" s="4">
        <f t="shared" si="3"/>
        <v>676760.67903999996</v>
      </c>
      <c r="X24" s="4">
        <f t="shared" si="3"/>
        <v>676760.67903999996</v>
      </c>
      <c r="Y24" s="4">
        <f t="shared" si="3"/>
        <v>676760.67903999996</v>
      </c>
      <c r="Z24" s="4">
        <f>SUM(B24:Y24)</f>
        <v>3046032.5579999997</v>
      </c>
    </row>
    <row r="29" spans="1:26" ht="18">
      <c r="A29" s="6" t="s">
        <v>4</v>
      </c>
    </row>
    <row r="30" spans="1:26" ht="33">
      <c r="A30" s="1" t="s">
        <v>104</v>
      </c>
      <c r="B30" s="11">
        <f>EDATE(Assumptions!$B$3,0)</f>
        <v>46327</v>
      </c>
      <c r="C30" s="11">
        <f>EDATE(Assumptions!$B$3,1)</f>
        <v>46357</v>
      </c>
      <c r="D30" s="11">
        <f>EDATE(Assumptions!$B$3,2)</f>
        <v>46388</v>
      </c>
      <c r="E30" s="11">
        <f>EDATE(Assumptions!$B$3,3)</f>
        <v>46419</v>
      </c>
      <c r="F30" s="11">
        <f>EDATE(Assumptions!$B$3,4)</f>
        <v>46447</v>
      </c>
      <c r="G30" s="11">
        <f>EDATE(Assumptions!$B$3,5)</f>
        <v>46478</v>
      </c>
      <c r="H30" s="11">
        <f>EDATE(Assumptions!$B$3,6)</f>
        <v>46508</v>
      </c>
      <c r="I30" s="11">
        <f>EDATE(Assumptions!$B$3,7)</f>
        <v>46539</v>
      </c>
      <c r="J30" s="11">
        <f>EDATE(Assumptions!$B$3,8)</f>
        <v>46569</v>
      </c>
      <c r="K30" s="11">
        <f>EDATE(Assumptions!$B$3,9)</f>
        <v>46600</v>
      </c>
      <c r="L30" s="11">
        <f>EDATE(Assumptions!$B$3,10)</f>
        <v>46631</v>
      </c>
      <c r="M30" s="11">
        <f>EDATE(Assumptions!$B$3,11)</f>
        <v>46661</v>
      </c>
      <c r="N30" s="11">
        <f>EDATE(Assumptions!$B$3,12)</f>
        <v>46692</v>
      </c>
      <c r="O30" s="11">
        <f>EDATE(Assumptions!$B$3,13)</f>
        <v>46722</v>
      </c>
      <c r="P30" s="11">
        <f>EDATE(Assumptions!$B$3,14)</f>
        <v>46753</v>
      </c>
      <c r="Q30" s="11">
        <f>EDATE(Assumptions!$B$3,15)</f>
        <v>46784</v>
      </c>
      <c r="R30" s="11">
        <f>EDATE(Assumptions!$B$3,16)</f>
        <v>46813</v>
      </c>
      <c r="S30" s="11">
        <f>EDATE(Assumptions!$B$3,17)</f>
        <v>46844</v>
      </c>
      <c r="T30" s="11">
        <f>EDATE(Assumptions!$B$3,18)</f>
        <v>46874</v>
      </c>
      <c r="U30" s="11">
        <f>EDATE(Assumptions!$B$3,19)</f>
        <v>46905</v>
      </c>
      <c r="V30" s="11">
        <f>EDATE(Assumptions!$B$3,20)</f>
        <v>46935</v>
      </c>
      <c r="W30" s="11">
        <f>EDATE(Assumptions!$B$3,21)</f>
        <v>46966</v>
      </c>
      <c r="X30" s="11">
        <f>EDATE(Assumptions!$B$3,22)</f>
        <v>46997</v>
      </c>
      <c r="Y30" s="11">
        <f>EDATE(Assumptions!$B$3,23)</f>
        <v>47027</v>
      </c>
      <c r="Z30" s="1" t="s">
        <v>105</v>
      </c>
    </row>
    <row r="31" spans="1:26" ht="16.5">
      <c r="A31" s="1" t="s">
        <v>106</v>
      </c>
      <c r="B31" s="4">
        <f>IF(1&gt;=Usage!$B$18,ROUND(Assumptions!B47*Assumptions!$D$20,0),0)</f>
        <v>0</v>
      </c>
      <c r="C31" s="4">
        <f>IF(2&gt;=Usage!$B$18,ROUND(Assumptions!B48*Assumptions!$D$20,0),0)</f>
        <v>0</v>
      </c>
      <c r="D31" s="4">
        <f>IF(3&gt;=Usage!$B$18,ROUND(Assumptions!B49*Assumptions!$D$20,0),0)</f>
        <v>0</v>
      </c>
      <c r="E31" s="4">
        <f>IF(4&gt;=Usage!$B$18,ROUND(Assumptions!B50*Assumptions!$D$20,0),0)</f>
        <v>0</v>
      </c>
      <c r="F31" s="4">
        <f>IF(5&gt;=Usage!$B$18,ROUND(Assumptions!B51*Assumptions!$D$20,0),0)</f>
        <v>0</v>
      </c>
      <c r="G31" s="4">
        <f>IF(6&gt;=Usage!$B$18,ROUND(Assumptions!B52*Assumptions!$D$20,0),0)</f>
        <v>0</v>
      </c>
      <c r="H31" s="4">
        <f>IF(7&gt;=Usage!$B$18,ROUND(Assumptions!B53*Assumptions!$D$20,0),0)</f>
        <v>0</v>
      </c>
      <c r="I31" s="4">
        <f>IF(8&gt;=Usage!$B$18,ROUND(Assumptions!B54*Assumptions!$D$20,0),0)</f>
        <v>0</v>
      </c>
      <c r="J31" s="4">
        <f>IF(9&gt;=Usage!$B$18,ROUND(Assumptions!B55*Assumptions!$D$20,0),0)</f>
        <v>0</v>
      </c>
      <c r="K31" s="4">
        <f>IF(10&gt;=Usage!$B$18,ROUND(Assumptions!B56*Assumptions!$D$20,0),0)</f>
        <v>0</v>
      </c>
      <c r="L31" s="4">
        <f>IF(11&gt;=Usage!$B$18,ROUND(Assumptions!B57*Assumptions!$D$20,0),0)</f>
        <v>0</v>
      </c>
      <c r="M31" s="4">
        <f>IF(12&gt;=Usage!$B$18,ROUND(Assumptions!B58*Assumptions!$D$20,0),0)</f>
        <v>0</v>
      </c>
      <c r="N31" s="4">
        <f>IF(13&gt;=Usage!$B$18,ROUND(Assumptions!B59*Assumptions!$D$20,0),0)</f>
        <v>0</v>
      </c>
      <c r="O31" s="4">
        <f>IF(14&gt;=Usage!$B$18,ROUND(Assumptions!B60*Assumptions!$D$20,0),0)</f>
        <v>0</v>
      </c>
      <c r="P31" s="4">
        <f>IF(15&gt;=Usage!$B$18,ROUND(Assumptions!B61*Assumptions!$D$20,0),0)</f>
        <v>0</v>
      </c>
      <c r="Q31" s="4">
        <f>IF(16&gt;=Usage!$B$18,ROUND(Assumptions!B62*Assumptions!$D$20,0),0)</f>
        <v>0</v>
      </c>
      <c r="R31" s="4">
        <f>IF(17&gt;=Usage!$B$18,ROUND(Assumptions!B63*Assumptions!$D$20,0),0)</f>
        <v>0</v>
      </c>
      <c r="S31" s="4">
        <f>IF(18&gt;=Usage!$B$18,ROUND(Assumptions!B64*Assumptions!$D$20,0),0)</f>
        <v>0</v>
      </c>
      <c r="T31" s="4">
        <f>IF(19&gt;=Usage!$B$18,ROUND(Assumptions!B65*Assumptions!$D$20,0),0)</f>
        <v>600</v>
      </c>
      <c r="U31" s="4">
        <f>IF(20&gt;=Usage!$B$18,ROUND(Assumptions!B66*Assumptions!$D$20,0),0)</f>
        <v>600</v>
      </c>
      <c r="V31" s="4">
        <f>IF(21&gt;=Usage!$B$18,ROUND(Assumptions!B67*Assumptions!$D$20,0),0)</f>
        <v>600</v>
      </c>
      <c r="W31" s="4">
        <f>IF(22&gt;=Usage!$B$18,ROUND(Assumptions!B68*Assumptions!$D$20,0),0)</f>
        <v>1200</v>
      </c>
      <c r="X31" s="4">
        <f>IF(23&gt;=Usage!$B$18,ROUND(Assumptions!B69*Assumptions!$D$20,0),0)</f>
        <v>1200</v>
      </c>
      <c r="Y31" s="4">
        <f>IF(24&gt;=Usage!$B$18,ROUND(Assumptions!B70*Assumptions!$D$20,0),0)</f>
        <v>1200</v>
      </c>
      <c r="Z31" s="4">
        <f>SUM(B31:Y31)</f>
        <v>5400</v>
      </c>
    </row>
    <row r="32" spans="1:26" ht="16.5">
      <c r="A32" s="1" t="s">
        <v>107</v>
      </c>
      <c r="B32" s="4">
        <f>IF(1&gt;=Usage!$B$18,ROUND(Assumptions!C47*Assumptions!$D$20,0),0)</f>
        <v>0</v>
      </c>
      <c r="C32" s="4">
        <f>IF(2&gt;=Usage!$B$18,ROUND(Assumptions!C48*Assumptions!$D$20,0),0)</f>
        <v>0</v>
      </c>
      <c r="D32" s="4">
        <f>IF(3&gt;=Usage!$B$18,ROUND(Assumptions!C49*Assumptions!$D$20,0),0)</f>
        <v>0</v>
      </c>
      <c r="E32" s="4">
        <f>IF(4&gt;=Usage!$B$18,ROUND(Assumptions!C50*Assumptions!$D$20,0),0)</f>
        <v>0</v>
      </c>
      <c r="F32" s="4">
        <f>IF(5&gt;=Usage!$B$18,ROUND(Assumptions!C51*Assumptions!$D$20,0),0)</f>
        <v>0</v>
      </c>
      <c r="G32" s="4">
        <f>IF(6&gt;=Usage!$B$18,ROUND(Assumptions!C52*Assumptions!$D$20,0),0)</f>
        <v>0</v>
      </c>
      <c r="H32" s="4">
        <f>IF(7&gt;=Usage!$B$18,ROUND(Assumptions!C53*Assumptions!$D$20,0),0)</f>
        <v>0</v>
      </c>
      <c r="I32" s="4">
        <f>IF(8&gt;=Usage!$B$18,ROUND(Assumptions!C54*Assumptions!$D$20,0),0)</f>
        <v>0</v>
      </c>
      <c r="J32" s="4">
        <f>IF(9&gt;=Usage!$B$18,ROUND(Assumptions!C55*Assumptions!$D$20,0),0)</f>
        <v>0</v>
      </c>
      <c r="K32" s="4">
        <f>IF(10&gt;=Usage!$B$18,ROUND(Assumptions!C56*Assumptions!$D$20,0),0)</f>
        <v>0</v>
      </c>
      <c r="L32" s="4">
        <f>IF(11&gt;=Usage!$B$18,ROUND(Assumptions!C57*Assumptions!$D$20,0),0)</f>
        <v>0</v>
      </c>
      <c r="M32" s="4">
        <f>IF(12&gt;=Usage!$B$18,ROUND(Assumptions!C58*Assumptions!$D$20,0),0)</f>
        <v>0</v>
      </c>
      <c r="N32" s="4">
        <f>IF(13&gt;=Usage!$B$18,ROUND(Assumptions!C59*Assumptions!$D$20,0),0)</f>
        <v>0</v>
      </c>
      <c r="O32" s="4">
        <f>IF(14&gt;=Usage!$B$18,ROUND(Assumptions!C60*Assumptions!$D$20,0),0)</f>
        <v>0</v>
      </c>
      <c r="P32" s="4">
        <f>IF(15&gt;=Usage!$B$18,ROUND(Assumptions!C61*Assumptions!$D$20,0),0)</f>
        <v>0</v>
      </c>
      <c r="Q32" s="4">
        <f>IF(16&gt;=Usage!$B$18,ROUND(Assumptions!C62*Assumptions!$D$20,0),0)</f>
        <v>0</v>
      </c>
      <c r="R32" s="4">
        <f>IF(17&gt;=Usage!$B$18,ROUND(Assumptions!C63*Assumptions!$D$20,0),0)</f>
        <v>0</v>
      </c>
      <c r="S32" s="4">
        <f>IF(18&gt;=Usage!$B$18,ROUND(Assumptions!C64*Assumptions!$D$20,0),0)</f>
        <v>0</v>
      </c>
      <c r="T32" s="4">
        <f>IF(19&gt;=Usage!$B$18,ROUND(Assumptions!C65*Assumptions!$D$20,0),0)</f>
        <v>80</v>
      </c>
      <c r="U32" s="4">
        <f>IF(20&gt;=Usage!$B$18,ROUND(Assumptions!C66*Assumptions!$D$20,0),0)</f>
        <v>80</v>
      </c>
      <c r="V32" s="4">
        <f>IF(21&gt;=Usage!$B$18,ROUND(Assumptions!C67*Assumptions!$D$20,0),0)</f>
        <v>80</v>
      </c>
      <c r="W32" s="4">
        <f>IF(22&gt;=Usage!$B$18,ROUND(Assumptions!C68*Assumptions!$D$20,0),0)</f>
        <v>120</v>
      </c>
      <c r="X32" s="4">
        <f>IF(23&gt;=Usage!$B$18,ROUND(Assumptions!C69*Assumptions!$D$20,0),0)</f>
        <v>120</v>
      </c>
      <c r="Y32" s="4">
        <f>IF(24&gt;=Usage!$B$18,ROUND(Assumptions!C70*Assumptions!$D$20,0),0)</f>
        <v>120</v>
      </c>
      <c r="Z32" s="4">
        <f>SUM(B32:Y32)</f>
        <v>600</v>
      </c>
    </row>
    <row r="33" spans="1:26" ht="16.5">
      <c r="A33" s="1" t="s">
        <v>108</v>
      </c>
      <c r="B33" s="4">
        <f>IF(1&gt;=Usage!$B$18,ROUND(Assumptions!D47*Assumptions!$D$20,0),0)</f>
        <v>0</v>
      </c>
      <c r="C33" s="4">
        <f>IF(2&gt;=Usage!$B$18,ROUND(Assumptions!D48*Assumptions!$D$20,0),0)</f>
        <v>0</v>
      </c>
      <c r="D33" s="4">
        <f>IF(3&gt;=Usage!$B$18,ROUND(Assumptions!D49*Assumptions!$D$20,0),0)</f>
        <v>0</v>
      </c>
      <c r="E33" s="4">
        <f>IF(4&gt;=Usage!$B$18,ROUND(Assumptions!D50*Assumptions!$D$20,0),0)</f>
        <v>0</v>
      </c>
      <c r="F33" s="4">
        <f>IF(5&gt;=Usage!$B$18,ROUND(Assumptions!D51*Assumptions!$D$20,0),0)</f>
        <v>0</v>
      </c>
      <c r="G33" s="4">
        <f>IF(6&gt;=Usage!$B$18,ROUND(Assumptions!D52*Assumptions!$D$20,0),0)</f>
        <v>0</v>
      </c>
      <c r="H33" s="4">
        <f>IF(7&gt;=Usage!$B$18,ROUND(Assumptions!D53*Assumptions!$D$20,0),0)</f>
        <v>0</v>
      </c>
      <c r="I33" s="4">
        <f>IF(8&gt;=Usage!$B$18,ROUND(Assumptions!D54*Assumptions!$D$20,0),0)</f>
        <v>0</v>
      </c>
      <c r="J33" s="4">
        <f>IF(9&gt;=Usage!$B$18,ROUND(Assumptions!D55*Assumptions!$D$20,0),0)</f>
        <v>0</v>
      </c>
      <c r="K33" s="4">
        <f>IF(10&gt;=Usage!$B$18,ROUND(Assumptions!D56*Assumptions!$D$20,0),0)</f>
        <v>0</v>
      </c>
      <c r="L33" s="4">
        <f>IF(11&gt;=Usage!$B$18,ROUND(Assumptions!D57*Assumptions!$D$20,0),0)</f>
        <v>0</v>
      </c>
      <c r="M33" s="4">
        <f>IF(12&gt;=Usage!$B$18,ROUND(Assumptions!D58*Assumptions!$D$20,0),0)</f>
        <v>0</v>
      </c>
      <c r="N33" s="4">
        <f>IF(13&gt;=Usage!$B$18,ROUND(Assumptions!D59*Assumptions!$D$20,0),0)</f>
        <v>0</v>
      </c>
      <c r="O33" s="4">
        <f>IF(14&gt;=Usage!$B$18,ROUND(Assumptions!D60*Assumptions!$D$20,0),0)</f>
        <v>0</v>
      </c>
      <c r="P33" s="4">
        <f>IF(15&gt;=Usage!$B$18,ROUND(Assumptions!D61*Assumptions!$D$20,0),0)</f>
        <v>0</v>
      </c>
      <c r="Q33" s="4">
        <f>IF(16&gt;=Usage!$B$18,ROUND(Assumptions!D62*Assumptions!$D$20,0),0)</f>
        <v>0</v>
      </c>
      <c r="R33" s="4">
        <f>IF(17&gt;=Usage!$B$18,ROUND(Assumptions!D63*Assumptions!$D$20,0),0)</f>
        <v>0</v>
      </c>
      <c r="S33" s="4">
        <f>IF(18&gt;=Usage!$B$18,ROUND(Assumptions!D64*Assumptions!$D$20,0),0)</f>
        <v>0</v>
      </c>
      <c r="T33" s="4">
        <f>IF(19&gt;=Usage!$B$18,ROUND(Assumptions!D65*Assumptions!$D$20,0),0)</f>
        <v>500</v>
      </c>
      <c r="U33" s="4">
        <f>IF(20&gt;=Usage!$B$18,ROUND(Assumptions!D66*Assumptions!$D$20,0),0)</f>
        <v>500</v>
      </c>
      <c r="V33" s="4">
        <f>IF(21&gt;=Usage!$B$18,ROUND(Assumptions!D67*Assumptions!$D$20,0),0)</f>
        <v>500</v>
      </c>
      <c r="W33" s="4">
        <f>IF(22&gt;=Usage!$B$18,ROUND(Assumptions!D68*Assumptions!$D$20,0),0)</f>
        <v>1000</v>
      </c>
      <c r="X33" s="4">
        <f>IF(23&gt;=Usage!$B$18,ROUND(Assumptions!D69*Assumptions!$D$20,0),0)</f>
        <v>1000</v>
      </c>
      <c r="Y33" s="4">
        <f>IF(24&gt;=Usage!$B$18,ROUND(Assumptions!D70*Assumptions!$D$20,0),0)</f>
        <v>1000</v>
      </c>
      <c r="Z33" s="4">
        <f>SUM(B33:Y33)</f>
        <v>4500</v>
      </c>
    </row>
    <row r="34" spans="1:26" ht="16.5">
      <c r="A34" s="1" t="s">
        <v>109</v>
      </c>
      <c r="B34" s="4">
        <f t="shared" ref="B34:Y34" si="4">SUM(B31:B33)</f>
        <v>0</v>
      </c>
      <c r="C34" s="4">
        <f t="shared" si="4"/>
        <v>0</v>
      </c>
      <c r="D34" s="4">
        <f t="shared" si="4"/>
        <v>0</v>
      </c>
      <c r="E34" s="4">
        <f t="shared" si="4"/>
        <v>0</v>
      </c>
      <c r="F34" s="4">
        <f t="shared" si="4"/>
        <v>0</v>
      </c>
      <c r="G34" s="4">
        <f t="shared" si="4"/>
        <v>0</v>
      </c>
      <c r="H34" s="4">
        <f t="shared" si="4"/>
        <v>0</v>
      </c>
      <c r="I34" s="4">
        <f t="shared" si="4"/>
        <v>0</v>
      </c>
      <c r="J34" s="4">
        <f t="shared" si="4"/>
        <v>0</v>
      </c>
      <c r="K34" s="4">
        <f t="shared" si="4"/>
        <v>0</v>
      </c>
      <c r="L34" s="4">
        <f t="shared" si="4"/>
        <v>0</v>
      </c>
      <c r="M34" s="4">
        <f t="shared" si="4"/>
        <v>0</v>
      </c>
      <c r="N34" s="4">
        <f t="shared" si="4"/>
        <v>0</v>
      </c>
      <c r="O34" s="4">
        <f t="shared" si="4"/>
        <v>0</v>
      </c>
      <c r="P34" s="4">
        <f t="shared" si="4"/>
        <v>0</v>
      </c>
      <c r="Q34" s="4">
        <f t="shared" si="4"/>
        <v>0</v>
      </c>
      <c r="R34" s="4">
        <f t="shared" si="4"/>
        <v>0</v>
      </c>
      <c r="S34" s="4">
        <f t="shared" si="4"/>
        <v>0</v>
      </c>
      <c r="T34" s="4">
        <f t="shared" si="4"/>
        <v>1180</v>
      </c>
      <c r="U34" s="4">
        <f t="shared" si="4"/>
        <v>1180</v>
      </c>
      <c r="V34" s="4">
        <f t="shared" si="4"/>
        <v>1180</v>
      </c>
      <c r="W34" s="4">
        <f t="shared" si="4"/>
        <v>2320</v>
      </c>
      <c r="X34" s="4">
        <f t="shared" si="4"/>
        <v>2320</v>
      </c>
      <c r="Y34" s="4">
        <f t="shared" si="4"/>
        <v>2320</v>
      </c>
      <c r="Z34" s="4">
        <f>Y34</f>
        <v>2320</v>
      </c>
    </row>
    <row r="35" spans="1:26" ht="16.5">
      <c r="A35" s="1" t="s">
        <v>110</v>
      </c>
      <c r="B35" s="4">
        <f>B31*Assumptions!$B$29*Assumptions!$D$21</f>
        <v>0</v>
      </c>
      <c r="C35" s="4">
        <f>C31*Assumptions!$B$29*Assumptions!$D$21</f>
        <v>0</v>
      </c>
      <c r="D35" s="4">
        <f>D31*Assumptions!$B$29*Assumptions!$D$21</f>
        <v>0</v>
      </c>
      <c r="E35" s="4">
        <f>E31*Assumptions!$B$29*Assumptions!$D$21</f>
        <v>0</v>
      </c>
      <c r="F35" s="4">
        <f>F31*Assumptions!$B$29*Assumptions!$D$21</f>
        <v>0</v>
      </c>
      <c r="G35" s="4">
        <f>G31*Assumptions!$B$29*Assumptions!$D$21</f>
        <v>0</v>
      </c>
      <c r="H35" s="4">
        <f>H31*Assumptions!$B$29*Assumptions!$D$21</f>
        <v>0</v>
      </c>
      <c r="I35" s="4">
        <f>I31*Assumptions!$B$29*Assumptions!$D$21</f>
        <v>0</v>
      </c>
      <c r="J35" s="4">
        <f>J31*Assumptions!$B$29*Assumptions!$D$21</f>
        <v>0</v>
      </c>
      <c r="K35" s="4">
        <f>K31*Assumptions!$B$29*Assumptions!$D$21</f>
        <v>0</v>
      </c>
      <c r="L35" s="4">
        <f>L31*Assumptions!$B$29*Assumptions!$D$21</f>
        <v>0</v>
      </c>
      <c r="M35" s="4">
        <f>M31*Assumptions!$B$29*Assumptions!$D$21</f>
        <v>0</v>
      </c>
      <c r="N35" s="4">
        <f>N31*Assumptions!$B$29*Assumptions!$D$21</f>
        <v>0</v>
      </c>
      <c r="O35" s="4">
        <f>O31*Assumptions!$B$29*Assumptions!$D$21</f>
        <v>0</v>
      </c>
      <c r="P35" s="4">
        <f>P31*Assumptions!$B$29*Assumptions!$D$21</f>
        <v>0</v>
      </c>
      <c r="Q35" s="4">
        <f>Q31*Assumptions!$B$29*Assumptions!$D$21</f>
        <v>0</v>
      </c>
      <c r="R35" s="4">
        <f>R31*Assumptions!$B$29*Assumptions!$D$21</f>
        <v>0</v>
      </c>
      <c r="S35" s="4">
        <f>S31*Assumptions!$B$29*Assumptions!$D$21</f>
        <v>0</v>
      </c>
      <c r="T35" s="4">
        <f>T31*Assumptions!$B$29*Assumptions!$D$21</f>
        <v>5079.1860000000006</v>
      </c>
      <c r="U35" s="4">
        <f>U31*Assumptions!$B$29*Assumptions!$D$21</f>
        <v>5079.1860000000006</v>
      </c>
      <c r="V35" s="4">
        <f>V31*Assumptions!$B$29*Assumptions!$D$21</f>
        <v>5079.1860000000006</v>
      </c>
      <c r="W35" s="4">
        <f>W31*Assumptions!$B$29*Assumptions!$D$21</f>
        <v>10158.372000000001</v>
      </c>
      <c r="X35" s="4">
        <f>X31*Assumptions!$B$29*Assumptions!$D$21</f>
        <v>10158.372000000001</v>
      </c>
      <c r="Y35" s="4">
        <f>Y31*Assumptions!$B$29*Assumptions!$D$21</f>
        <v>10158.372000000001</v>
      </c>
      <c r="Z35" s="4">
        <f>SUM(B35:Y35)</f>
        <v>45712.674000000006</v>
      </c>
    </row>
    <row r="36" spans="1:26" ht="16.5">
      <c r="A36" s="1" t="s">
        <v>111</v>
      </c>
      <c r="B36" s="4">
        <f>B32*Assumptions!$B$30*Assumptions!$D$21</f>
        <v>0</v>
      </c>
      <c r="C36" s="4">
        <f>C32*Assumptions!$B$30*Assumptions!$D$21</f>
        <v>0</v>
      </c>
      <c r="D36" s="4">
        <f>D32*Assumptions!$B$30*Assumptions!$D$21</f>
        <v>0</v>
      </c>
      <c r="E36" s="4">
        <f>E32*Assumptions!$B$30*Assumptions!$D$21</f>
        <v>0</v>
      </c>
      <c r="F36" s="4">
        <f>F32*Assumptions!$B$30*Assumptions!$D$21</f>
        <v>0</v>
      </c>
      <c r="G36" s="4">
        <f>G32*Assumptions!$B$30*Assumptions!$D$21</f>
        <v>0</v>
      </c>
      <c r="H36" s="4">
        <f>H32*Assumptions!$B$30*Assumptions!$D$21</f>
        <v>0</v>
      </c>
      <c r="I36" s="4">
        <f>I32*Assumptions!$B$30*Assumptions!$D$21</f>
        <v>0</v>
      </c>
      <c r="J36" s="4">
        <f>J32*Assumptions!$B$30*Assumptions!$D$21</f>
        <v>0</v>
      </c>
      <c r="K36" s="4">
        <f>K32*Assumptions!$B$30*Assumptions!$D$21</f>
        <v>0</v>
      </c>
      <c r="L36" s="4">
        <f>L32*Assumptions!$B$30*Assumptions!$D$21</f>
        <v>0</v>
      </c>
      <c r="M36" s="4">
        <f>M32*Assumptions!$B$30*Assumptions!$D$21</f>
        <v>0</v>
      </c>
      <c r="N36" s="4">
        <f>N32*Assumptions!$B$30*Assumptions!$D$21</f>
        <v>0</v>
      </c>
      <c r="O36" s="4">
        <f>O32*Assumptions!$B$30*Assumptions!$D$21</f>
        <v>0</v>
      </c>
      <c r="P36" s="4">
        <f>P32*Assumptions!$B$30*Assumptions!$D$21</f>
        <v>0</v>
      </c>
      <c r="Q36" s="4">
        <f>Q32*Assumptions!$B$30*Assumptions!$D$21</f>
        <v>0</v>
      </c>
      <c r="R36" s="4">
        <f>R32*Assumptions!$B$30*Assumptions!$D$21</f>
        <v>0</v>
      </c>
      <c r="S36" s="4">
        <f>S32*Assumptions!$B$30*Assumptions!$D$21</f>
        <v>0</v>
      </c>
      <c r="T36" s="4">
        <f>T32*Assumptions!$B$30*Assumptions!$D$21</f>
        <v>4063.3487999999998</v>
      </c>
      <c r="U36" s="4">
        <f>U32*Assumptions!$B$30*Assumptions!$D$21</f>
        <v>4063.3487999999998</v>
      </c>
      <c r="V36" s="4">
        <f>V32*Assumptions!$B$30*Assumptions!$D$21</f>
        <v>4063.3487999999998</v>
      </c>
      <c r="W36" s="4">
        <f>W32*Assumptions!$B$30*Assumptions!$D$21</f>
        <v>6095.0232000000005</v>
      </c>
      <c r="X36" s="4">
        <f>X32*Assumptions!$B$30*Assumptions!$D$21</f>
        <v>6095.0232000000005</v>
      </c>
      <c r="Y36" s="4">
        <f>Y32*Assumptions!$B$30*Assumptions!$D$21</f>
        <v>6095.0232000000005</v>
      </c>
      <c r="Z36" s="4">
        <f>SUM(B36:Y36)</f>
        <v>30475.115999999998</v>
      </c>
    </row>
    <row r="37" spans="1:26" ht="16.5">
      <c r="A37" s="1" t="s">
        <v>112</v>
      </c>
      <c r="B37" s="4">
        <f>B33*Assumptions!$B$31*Assumptions!$D$21</f>
        <v>0</v>
      </c>
      <c r="C37" s="4">
        <f>C33*Assumptions!$B$31*Assumptions!$D$21</f>
        <v>0</v>
      </c>
      <c r="D37" s="4">
        <f>D33*Assumptions!$B$31*Assumptions!$D$21</f>
        <v>0</v>
      </c>
      <c r="E37" s="4">
        <f>E33*Assumptions!$B$31*Assumptions!$D$21</f>
        <v>0</v>
      </c>
      <c r="F37" s="4">
        <f>F33*Assumptions!$B$31*Assumptions!$D$21</f>
        <v>0</v>
      </c>
      <c r="G37" s="4">
        <f>G33*Assumptions!$B$31*Assumptions!$D$21</f>
        <v>0</v>
      </c>
      <c r="H37" s="4">
        <f>H33*Assumptions!$B$31*Assumptions!$D$21</f>
        <v>0</v>
      </c>
      <c r="I37" s="4">
        <f>I33*Assumptions!$B$31*Assumptions!$D$21</f>
        <v>0</v>
      </c>
      <c r="J37" s="4">
        <f>J33*Assumptions!$B$31*Assumptions!$D$21</f>
        <v>0</v>
      </c>
      <c r="K37" s="4">
        <f>K33*Assumptions!$B$31*Assumptions!$D$21</f>
        <v>0</v>
      </c>
      <c r="L37" s="4">
        <f>L33*Assumptions!$B$31*Assumptions!$D$21</f>
        <v>0</v>
      </c>
      <c r="M37" s="4">
        <f>M33*Assumptions!$B$31*Assumptions!$D$21</f>
        <v>0</v>
      </c>
      <c r="N37" s="4">
        <f>N33*Assumptions!$B$31*Assumptions!$D$21</f>
        <v>0</v>
      </c>
      <c r="O37" s="4">
        <f>O33*Assumptions!$B$31*Assumptions!$D$21</f>
        <v>0</v>
      </c>
      <c r="P37" s="4">
        <f>P33*Assumptions!$B$31*Assumptions!$D$21</f>
        <v>0</v>
      </c>
      <c r="Q37" s="4">
        <f>Q33*Assumptions!$B$31*Assumptions!$D$21</f>
        <v>0</v>
      </c>
      <c r="R37" s="4">
        <f>R33*Assumptions!$B$31*Assumptions!$D$21</f>
        <v>0</v>
      </c>
      <c r="S37" s="4">
        <f>S33*Assumptions!$B$31*Assumptions!$D$21</f>
        <v>0</v>
      </c>
      <c r="T37" s="4">
        <f>T33*Assumptions!$B$31*Assumptions!$D$21</f>
        <v>1683775</v>
      </c>
      <c r="U37" s="4">
        <f>U33*Assumptions!$B$31*Assumptions!$D$21</f>
        <v>1683775</v>
      </c>
      <c r="V37" s="4">
        <f>V33*Assumptions!$B$31*Assumptions!$D$21</f>
        <v>1683775</v>
      </c>
      <c r="W37" s="4">
        <f>W33*Assumptions!$B$31*Assumptions!$D$21</f>
        <v>3367550</v>
      </c>
      <c r="X37" s="4">
        <f>X33*Assumptions!$B$31*Assumptions!$D$21</f>
        <v>3367550</v>
      </c>
      <c r="Y37" s="4">
        <f>Y33*Assumptions!$B$31*Assumptions!$D$21</f>
        <v>3367550</v>
      </c>
      <c r="Z37" s="4">
        <f>SUM(B37:Y37)</f>
        <v>15153975</v>
      </c>
    </row>
    <row r="38" spans="1:26" ht="16.5">
      <c r="A38" s="1" t="s">
        <v>113</v>
      </c>
      <c r="B38" s="4">
        <f t="shared" ref="B38:Y38" si="5">SUM(B35:B37)</f>
        <v>0</v>
      </c>
      <c r="C38" s="4">
        <f t="shared" si="5"/>
        <v>0</v>
      </c>
      <c r="D38" s="4">
        <f t="shared" si="5"/>
        <v>0</v>
      </c>
      <c r="E38" s="4">
        <f t="shared" si="5"/>
        <v>0</v>
      </c>
      <c r="F38" s="4">
        <f t="shared" si="5"/>
        <v>0</v>
      </c>
      <c r="G38" s="4">
        <f t="shared" si="5"/>
        <v>0</v>
      </c>
      <c r="H38" s="4">
        <f t="shared" si="5"/>
        <v>0</v>
      </c>
      <c r="I38" s="4">
        <f t="shared" si="5"/>
        <v>0</v>
      </c>
      <c r="J38" s="4">
        <f t="shared" si="5"/>
        <v>0</v>
      </c>
      <c r="K38" s="4">
        <f t="shared" si="5"/>
        <v>0</v>
      </c>
      <c r="L38" s="4">
        <f t="shared" si="5"/>
        <v>0</v>
      </c>
      <c r="M38" s="4">
        <f t="shared" si="5"/>
        <v>0</v>
      </c>
      <c r="N38" s="4">
        <f t="shared" si="5"/>
        <v>0</v>
      </c>
      <c r="O38" s="4">
        <f t="shared" si="5"/>
        <v>0</v>
      </c>
      <c r="P38" s="4">
        <f t="shared" si="5"/>
        <v>0</v>
      </c>
      <c r="Q38" s="4">
        <f t="shared" si="5"/>
        <v>0</v>
      </c>
      <c r="R38" s="4">
        <f t="shared" si="5"/>
        <v>0</v>
      </c>
      <c r="S38" s="4">
        <f t="shared" si="5"/>
        <v>0</v>
      </c>
      <c r="T38" s="4">
        <f t="shared" si="5"/>
        <v>1692917.5348</v>
      </c>
      <c r="U38" s="4">
        <f t="shared" si="5"/>
        <v>1692917.5348</v>
      </c>
      <c r="V38" s="4">
        <f t="shared" si="5"/>
        <v>1692917.5348</v>
      </c>
      <c r="W38" s="4">
        <f t="shared" si="5"/>
        <v>3383803.3952000001</v>
      </c>
      <c r="X38" s="4">
        <f t="shared" si="5"/>
        <v>3383803.3952000001</v>
      </c>
      <c r="Y38" s="4">
        <f t="shared" si="5"/>
        <v>3383803.3952000001</v>
      </c>
      <c r="Z38" s="4">
        <f>SUM(B38:Y38)</f>
        <v>15230162.789999999</v>
      </c>
    </row>
  </sheetData>
  <phoneticPr fontId="4" type="noConversion"/>
  <printOptions horizontalCentered="1"/>
  <pageMargins left="0.25" right="0.25" top="1" bottom="1" header="0.5" footer="0.5"/>
  <pageSetup paperSize="8" fitToWidth="2" fitToHeight="0" orientation="landscape"/>
  <headerFooter>
    <oddFooter>&amp;CBlocky Studio | 规划预算 | &amp;P / &amp;N</oddFooter>
  </headerFooter>
  <rowBreaks count="2" manualBreakCount="2">
    <brk id="14" max="16383" man="1"/>
    <brk id="28" max="16383" man="1"/>
  </rowBreaks>
  <colBreaks count="1" manualBreakCount="1">
    <brk id="13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6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3.5"/>
  <cols>
    <col min="1" max="1" width="39" customWidth="1"/>
    <col min="2" max="26" width="13" customWidth="1"/>
  </cols>
  <sheetData>
    <row r="1" spans="1:26" ht="18">
      <c r="A1" s="6" t="s">
        <v>2</v>
      </c>
    </row>
    <row r="2" spans="1:26" ht="33">
      <c r="A2" s="1" t="s">
        <v>104</v>
      </c>
      <c r="B2" s="11">
        <f>EDATE(Assumptions!$B$3,0)</f>
        <v>46327</v>
      </c>
      <c r="C2" s="11">
        <f>EDATE(Assumptions!$B$3,1)</f>
        <v>46357</v>
      </c>
      <c r="D2" s="11">
        <f>EDATE(Assumptions!$B$3,2)</f>
        <v>46388</v>
      </c>
      <c r="E2" s="11">
        <f>EDATE(Assumptions!$B$3,3)</f>
        <v>46419</v>
      </c>
      <c r="F2" s="11">
        <f>EDATE(Assumptions!$B$3,4)</f>
        <v>46447</v>
      </c>
      <c r="G2" s="11">
        <f>EDATE(Assumptions!$B$3,5)</f>
        <v>46478</v>
      </c>
      <c r="H2" s="11">
        <f>EDATE(Assumptions!$B$3,6)</f>
        <v>46508</v>
      </c>
      <c r="I2" s="11">
        <f>EDATE(Assumptions!$B$3,7)</f>
        <v>46539</v>
      </c>
      <c r="J2" s="11">
        <f>EDATE(Assumptions!$B$3,8)</f>
        <v>46569</v>
      </c>
      <c r="K2" s="11">
        <f>EDATE(Assumptions!$B$3,9)</f>
        <v>46600</v>
      </c>
      <c r="L2" s="11">
        <f>EDATE(Assumptions!$B$3,10)</f>
        <v>46631</v>
      </c>
      <c r="M2" s="11">
        <f>EDATE(Assumptions!$B$3,11)</f>
        <v>46661</v>
      </c>
      <c r="N2" s="11">
        <f>EDATE(Assumptions!$B$3,12)</f>
        <v>46692</v>
      </c>
      <c r="O2" s="11">
        <f>EDATE(Assumptions!$B$3,13)</f>
        <v>46722</v>
      </c>
      <c r="P2" s="11">
        <f>EDATE(Assumptions!$B$3,14)</f>
        <v>46753</v>
      </c>
      <c r="Q2" s="11">
        <f>EDATE(Assumptions!$B$3,15)</f>
        <v>46784</v>
      </c>
      <c r="R2" s="11">
        <f>EDATE(Assumptions!$B$3,16)</f>
        <v>46813</v>
      </c>
      <c r="S2" s="11">
        <f>EDATE(Assumptions!$B$3,17)</f>
        <v>46844</v>
      </c>
      <c r="T2" s="11">
        <f>EDATE(Assumptions!$B$3,18)</f>
        <v>46874</v>
      </c>
      <c r="U2" s="11">
        <f>EDATE(Assumptions!$B$3,19)</f>
        <v>46905</v>
      </c>
      <c r="V2" s="11">
        <f>EDATE(Assumptions!$B$3,20)</f>
        <v>46935</v>
      </c>
      <c r="W2" s="11">
        <f>EDATE(Assumptions!$B$3,21)</f>
        <v>46966</v>
      </c>
      <c r="X2" s="11">
        <f>EDATE(Assumptions!$B$3,22)</f>
        <v>46997</v>
      </c>
      <c r="Y2" s="11">
        <f>EDATE(Assumptions!$B$3,23)</f>
        <v>47027</v>
      </c>
      <c r="Z2" s="1" t="s">
        <v>105</v>
      </c>
    </row>
    <row r="3" spans="1:26" ht="16.5">
      <c r="A3" s="1" t="s">
        <v>114</v>
      </c>
      <c r="B3" s="4">
        <f>IF(1&lt;=6,Assumptions!$B$17,Assumptions!$B$18)</f>
        <v>2</v>
      </c>
      <c r="C3" s="4">
        <f>IF(2&lt;=6,Assumptions!$B$17,Assumptions!$B$18)</f>
        <v>2</v>
      </c>
      <c r="D3" s="4">
        <f>IF(3&lt;=6,Assumptions!$B$17,Assumptions!$B$18)</f>
        <v>2</v>
      </c>
      <c r="E3" s="4">
        <f>IF(4&lt;=6,Assumptions!$B$17,Assumptions!$B$18)</f>
        <v>2</v>
      </c>
      <c r="F3" s="4">
        <f>IF(5&lt;=6,Assumptions!$B$17,Assumptions!$B$18)</f>
        <v>2</v>
      </c>
      <c r="G3" s="4">
        <f>IF(6&lt;=6,Assumptions!$B$17,Assumptions!$B$18)</f>
        <v>2</v>
      </c>
      <c r="H3" s="4">
        <f>IF(7&lt;=6,Assumptions!$B$17,Assumptions!$B$18)</f>
        <v>3</v>
      </c>
      <c r="I3" s="4">
        <f>IF(8&lt;=6,Assumptions!$B$17,Assumptions!$B$18)</f>
        <v>3</v>
      </c>
      <c r="J3" s="4">
        <f>IF(9&lt;=6,Assumptions!$B$17,Assumptions!$B$18)</f>
        <v>3</v>
      </c>
      <c r="K3" s="4">
        <f>IF(10&lt;=6,Assumptions!$B$17,Assumptions!$B$18)</f>
        <v>3</v>
      </c>
      <c r="L3" s="4">
        <f>IF(11&lt;=6,Assumptions!$B$17,Assumptions!$B$18)</f>
        <v>3</v>
      </c>
      <c r="M3" s="4">
        <f>IF(12&lt;=6,Assumptions!$B$17,Assumptions!$B$18)</f>
        <v>3</v>
      </c>
      <c r="N3" s="4">
        <f>IF(13&lt;=6,Assumptions!$B$17,Assumptions!$B$18)</f>
        <v>3</v>
      </c>
      <c r="O3" s="4">
        <f>IF(14&lt;=6,Assumptions!$B$17,Assumptions!$B$18)</f>
        <v>3</v>
      </c>
      <c r="P3" s="4">
        <f>IF(15&lt;=6,Assumptions!$B$17,Assumptions!$B$18)</f>
        <v>3</v>
      </c>
      <c r="Q3" s="4">
        <f>IF(16&lt;=6,Assumptions!$B$17,Assumptions!$B$18)</f>
        <v>3</v>
      </c>
      <c r="R3" s="4">
        <f>IF(17&lt;=6,Assumptions!$B$17,Assumptions!$B$18)</f>
        <v>3</v>
      </c>
      <c r="S3" s="4">
        <f>IF(18&lt;=6,Assumptions!$B$17,Assumptions!$B$18)</f>
        <v>3</v>
      </c>
      <c r="T3" s="4">
        <f>IF(19&lt;=6,Assumptions!$B$17,Assumptions!$B$18)</f>
        <v>3</v>
      </c>
      <c r="U3" s="4">
        <f>IF(20&lt;=6,Assumptions!$B$17,Assumptions!$B$18)</f>
        <v>3</v>
      </c>
      <c r="V3" s="4">
        <f>IF(21&lt;=6,Assumptions!$B$17,Assumptions!$B$18)</f>
        <v>3</v>
      </c>
      <c r="W3" s="4">
        <f>IF(22&lt;=6,Assumptions!$B$17,Assumptions!$B$18)</f>
        <v>3</v>
      </c>
      <c r="X3" s="4">
        <f>IF(23&lt;=6,Assumptions!$B$17,Assumptions!$B$18)</f>
        <v>3</v>
      </c>
      <c r="Y3" s="4">
        <f>IF(24&lt;=6,Assumptions!$B$17,Assumptions!$B$18)</f>
        <v>3</v>
      </c>
      <c r="Z3" s="4">
        <f t="shared" ref="Z3:Z18" si="0">SUM(B3:Y3)</f>
        <v>66</v>
      </c>
    </row>
    <row r="4" spans="1:26" ht="16.5">
      <c r="A4" s="1" t="s">
        <v>115</v>
      </c>
      <c r="B4" s="4">
        <f>B3*Assumptions!$B$19</f>
        <v>32000</v>
      </c>
      <c r="C4" s="4">
        <f>C3*Assumptions!$B$19</f>
        <v>32000</v>
      </c>
      <c r="D4" s="4">
        <f>D3*Assumptions!$B$19</f>
        <v>32000</v>
      </c>
      <c r="E4" s="4">
        <f>E3*Assumptions!$B$19</f>
        <v>32000</v>
      </c>
      <c r="F4" s="4">
        <f>F3*Assumptions!$B$19</f>
        <v>32000</v>
      </c>
      <c r="G4" s="4">
        <f>G3*Assumptions!$B$19</f>
        <v>32000</v>
      </c>
      <c r="H4" s="4">
        <f>H3*Assumptions!$B$19</f>
        <v>48000</v>
      </c>
      <c r="I4" s="4">
        <f>I3*Assumptions!$B$19</f>
        <v>48000</v>
      </c>
      <c r="J4" s="4">
        <f>J3*Assumptions!$B$19</f>
        <v>48000</v>
      </c>
      <c r="K4" s="4">
        <f>K3*Assumptions!$B$19</f>
        <v>48000</v>
      </c>
      <c r="L4" s="4">
        <f>L3*Assumptions!$B$19</f>
        <v>48000</v>
      </c>
      <c r="M4" s="4">
        <f>M3*Assumptions!$B$19</f>
        <v>48000</v>
      </c>
      <c r="N4" s="4">
        <f>N3*Assumptions!$B$19</f>
        <v>48000</v>
      </c>
      <c r="O4" s="4">
        <f>O3*Assumptions!$B$19</f>
        <v>48000</v>
      </c>
      <c r="P4" s="4">
        <f>P3*Assumptions!$B$19</f>
        <v>48000</v>
      </c>
      <c r="Q4" s="4">
        <f>Q3*Assumptions!$B$19</f>
        <v>48000</v>
      </c>
      <c r="R4" s="4">
        <f>R3*Assumptions!$B$19</f>
        <v>48000</v>
      </c>
      <c r="S4" s="4">
        <f>S3*Assumptions!$B$19</f>
        <v>48000</v>
      </c>
      <c r="T4" s="4">
        <f>T3*Assumptions!$B$19</f>
        <v>48000</v>
      </c>
      <c r="U4" s="4">
        <f>U3*Assumptions!$B$19</f>
        <v>48000</v>
      </c>
      <c r="V4" s="4">
        <f>V3*Assumptions!$B$19</f>
        <v>48000</v>
      </c>
      <c r="W4" s="4">
        <f>W3*Assumptions!$B$19</f>
        <v>48000</v>
      </c>
      <c r="X4" s="4">
        <f>X3*Assumptions!$B$19</f>
        <v>48000</v>
      </c>
      <c r="Y4" s="4">
        <f>Y3*Assumptions!$B$19</f>
        <v>48000</v>
      </c>
      <c r="Z4" s="4">
        <f t="shared" si="0"/>
        <v>1056000</v>
      </c>
    </row>
    <row r="5" spans="1:26" ht="16.5">
      <c r="A5" s="1" t="s">
        <v>116</v>
      </c>
      <c r="B5" s="4">
        <f>B3*Assumptions!$B$32*Assumptions!$B$22</f>
        <v>2889.3579</v>
      </c>
      <c r="C5" s="4">
        <f>C3*Assumptions!$B$32*Assumptions!$B$22</f>
        <v>2889.3579</v>
      </c>
      <c r="D5" s="4">
        <f>D3*Assumptions!$B$32*Assumptions!$B$22</f>
        <v>2889.3579</v>
      </c>
      <c r="E5" s="4">
        <f>E3*Assumptions!$B$32*Assumptions!$B$22</f>
        <v>2889.3579</v>
      </c>
      <c r="F5" s="4">
        <f>F3*Assumptions!$B$32*Assumptions!$B$22</f>
        <v>2889.3579</v>
      </c>
      <c r="G5" s="4">
        <f>G3*Assumptions!$B$32*Assumptions!$B$22</f>
        <v>2889.3579</v>
      </c>
      <c r="H5" s="4">
        <f>H3*Assumptions!$B$32*Assumptions!$B$22</f>
        <v>4334.0368500000004</v>
      </c>
      <c r="I5" s="4">
        <f>I3*Assumptions!$B$32*Assumptions!$B$22</f>
        <v>4334.0368500000004</v>
      </c>
      <c r="J5" s="4">
        <f>J3*Assumptions!$B$32*Assumptions!$B$22</f>
        <v>4334.0368500000004</v>
      </c>
      <c r="K5" s="4">
        <f>K3*Assumptions!$B$32*Assumptions!$B$22</f>
        <v>4334.0368500000004</v>
      </c>
      <c r="L5" s="4">
        <f>L3*Assumptions!$B$32*Assumptions!$B$22</f>
        <v>4334.0368500000004</v>
      </c>
      <c r="M5" s="4">
        <f>M3*Assumptions!$B$32*Assumptions!$B$22</f>
        <v>4334.0368500000004</v>
      </c>
      <c r="N5" s="4">
        <f>N3*Assumptions!$B$32*Assumptions!$B$22</f>
        <v>4334.0368500000004</v>
      </c>
      <c r="O5" s="4">
        <f>O3*Assumptions!$B$32*Assumptions!$B$22</f>
        <v>4334.0368500000004</v>
      </c>
      <c r="P5" s="4">
        <f>P3*Assumptions!$B$32*Assumptions!$B$22</f>
        <v>4334.0368500000004</v>
      </c>
      <c r="Q5" s="4">
        <f>Q3*Assumptions!$B$32*Assumptions!$B$22</f>
        <v>4334.0368500000004</v>
      </c>
      <c r="R5" s="4">
        <f>R3*Assumptions!$B$32*Assumptions!$B$22</f>
        <v>4334.0368500000004</v>
      </c>
      <c r="S5" s="4">
        <f>S3*Assumptions!$B$32*Assumptions!$B$22</f>
        <v>4334.0368500000004</v>
      </c>
      <c r="T5" s="4">
        <f>T3*Assumptions!$B$32*Assumptions!$B$22</f>
        <v>4334.0368500000004</v>
      </c>
      <c r="U5" s="4">
        <f>U3*Assumptions!$B$32*Assumptions!$B$22</f>
        <v>4334.0368500000004</v>
      </c>
      <c r="V5" s="4">
        <f>V3*Assumptions!$B$32*Assumptions!$B$22</f>
        <v>4334.0368500000004</v>
      </c>
      <c r="W5" s="4">
        <f>W3*Assumptions!$B$32*Assumptions!$B$22</f>
        <v>4334.0368500000004</v>
      </c>
      <c r="X5" s="4">
        <f>X3*Assumptions!$B$32*Assumptions!$B$22</f>
        <v>4334.0368500000004</v>
      </c>
      <c r="Y5" s="4">
        <f>Y3*Assumptions!$B$32*Assumptions!$B$22</f>
        <v>4334.0368500000004</v>
      </c>
      <c r="Z5" s="4">
        <f t="shared" si="0"/>
        <v>95348.81070000006</v>
      </c>
    </row>
    <row r="6" spans="1:26" ht="16.5">
      <c r="A6" s="1" t="s">
        <v>117</v>
      </c>
      <c r="B6" s="4">
        <f>IF(1&lt;=6,Assumptions!$B$34,IF(1&lt;=12,Assumptions!$B$35,Assumptions!$B$36))*Assumptions!$B$22</f>
        <v>2250</v>
      </c>
      <c r="C6" s="4">
        <f>IF(2&lt;=6,Assumptions!$B$34,IF(2&lt;=12,Assumptions!$B$35,Assumptions!$B$36))*Assumptions!$B$22</f>
        <v>2250</v>
      </c>
      <c r="D6" s="4">
        <f>IF(3&lt;=6,Assumptions!$B$34,IF(3&lt;=12,Assumptions!$B$35,Assumptions!$B$36))*Assumptions!$B$22</f>
        <v>2250</v>
      </c>
      <c r="E6" s="4">
        <f>IF(4&lt;=6,Assumptions!$B$34,IF(4&lt;=12,Assumptions!$B$35,Assumptions!$B$36))*Assumptions!$B$22</f>
        <v>2250</v>
      </c>
      <c r="F6" s="4">
        <f>IF(5&lt;=6,Assumptions!$B$34,IF(5&lt;=12,Assumptions!$B$35,Assumptions!$B$36))*Assumptions!$B$22</f>
        <v>2250</v>
      </c>
      <c r="G6" s="4">
        <f>IF(6&lt;=6,Assumptions!$B$34,IF(6&lt;=12,Assumptions!$B$35,Assumptions!$B$36))*Assumptions!$B$22</f>
        <v>2250</v>
      </c>
      <c r="H6" s="4">
        <f>IF(7&lt;=6,Assumptions!$B$34,IF(7&lt;=12,Assumptions!$B$35,Assumptions!$B$36))*Assumptions!$B$22</f>
        <v>4500</v>
      </c>
      <c r="I6" s="4">
        <f>IF(8&lt;=6,Assumptions!$B$34,IF(8&lt;=12,Assumptions!$B$35,Assumptions!$B$36))*Assumptions!$B$22</f>
        <v>4500</v>
      </c>
      <c r="J6" s="4">
        <f>IF(9&lt;=6,Assumptions!$B$34,IF(9&lt;=12,Assumptions!$B$35,Assumptions!$B$36))*Assumptions!$B$22</f>
        <v>4500</v>
      </c>
      <c r="K6" s="4">
        <f>IF(10&lt;=6,Assumptions!$B$34,IF(10&lt;=12,Assumptions!$B$35,Assumptions!$B$36))*Assumptions!$B$22</f>
        <v>4500</v>
      </c>
      <c r="L6" s="4">
        <f>IF(11&lt;=6,Assumptions!$B$34,IF(11&lt;=12,Assumptions!$B$35,Assumptions!$B$36))*Assumptions!$B$22</f>
        <v>4500</v>
      </c>
      <c r="M6" s="4">
        <f>IF(12&lt;=6,Assumptions!$B$34,IF(12&lt;=12,Assumptions!$B$35,Assumptions!$B$36))*Assumptions!$B$22</f>
        <v>4500</v>
      </c>
      <c r="N6" s="4">
        <f>IF(13&lt;=6,Assumptions!$B$34,IF(13&lt;=12,Assumptions!$B$35,Assumptions!$B$36))*Assumptions!$B$22</f>
        <v>6750</v>
      </c>
      <c r="O6" s="4">
        <f>IF(14&lt;=6,Assumptions!$B$34,IF(14&lt;=12,Assumptions!$B$35,Assumptions!$B$36))*Assumptions!$B$22</f>
        <v>6750</v>
      </c>
      <c r="P6" s="4">
        <f>IF(15&lt;=6,Assumptions!$B$34,IF(15&lt;=12,Assumptions!$B$35,Assumptions!$B$36))*Assumptions!$B$22</f>
        <v>6750</v>
      </c>
      <c r="Q6" s="4">
        <f>IF(16&lt;=6,Assumptions!$B$34,IF(16&lt;=12,Assumptions!$B$35,Assumptions!$B$36))*Assumptions!$B$22</f>
        <v>6750</v>
      </c>
      <c r="R6" s="4">
        <f>IF(17&lt;=6,Assumptions!$B$34,IF(17&lt;=12,Assumptions!$B$35,Assumptions!$B$36))*Assumptions!$B$22</f>
        <v>6750</v>
      </c>
      <c r="S6" s="4">
        <f>IF(18&lt;=6,Assumptions!$B$34,IF(18&lt;=12,Assumptions!$B$35,Assumptions!$B$36))*Assumptions!$B$22</f>
        <v>6750</v>
      </c>
      <c r="T6" s="4">
        <f>IF(19&lt;=6,Assumptions!$B$34,IF(19&lt;=12,Assumptions!$B$35,Assumptions!$B$36))*Assumptions!$B$22</f>
        <v>6750</v>
      </c>
      <c r="U6" s="4">
        <f>IF(20&lt;=6,Assumptions!$B$34,IF(20&lt;=12,Assumptions!$B$35,Assumptions!$B$36))*Assumptions!$B$22</f>
        <v>6750</v>
      </c>
      <c r="V6" s="4">
        <f>IF(21&lt;=6,Assumptions!$B$34,IF(21&lt;=12,Assumptions!$B$35,Assumptions!$B$36))*Assumptions!$B$22</f>
        <v>6750</v>
      </c>
      <c r="W6" s="4">
        <f>IF(22&lt;=6,Assumptions!$B$34,IF(22&lt;=12,Assumptions!$B$35,Assumptions!$B$36))*Assumptions!$B$22</f>
        <v>6750</v>
      </c>
      <c r="X6" s="4">
        <f>IF(23&lt;=6,Assumptions!$B$34,IF(23&lt;=12,Assumptions!$B$35,Assumptions!$B$36))*Assumptions!$B$22</f>
        <v>6750</v>
      </c>
      <c r="Y6" s="4">
        <f>IF(24&lt;=6,Assumptions!$B$34,IF(24&lt;=12,Assumptions!$B$35,Assumptions!$B$36))*Assumptions!$B$22</f>
        <v>6750</v>
      </c>
      <c r="Z6" s="4">
        <f t="shared" si="0"/>
        <v>121500</v>
      </c>
    </row>
    <row r="7" spans="1:26" ht="16.5">
      <c r="A7" s="1" t="s">
        <v>118</v>
      </c>
      <c r="B7" s="4">
        <f>IF(1&lt;=3,Assumptions!$B$37,IF(1&lt;=12,Assumptions!$B$38,Assumptions!$B$39))*Assumptions!$B$22</f>
        <v>0</v>
      </c>
      <c r="C7" s="4">
        <f>IF(2&lt;=3,Assumptions!$B$37,IF(2&lt;=12,Assumptions!$B$38,Assumptions!$B$39))*Assumptions!$B$22</f>
        <v>0</v>
      </c>
      <c r="D7" s="4">
        <f>IF(3&lt;=3,Assumptions!$B$37,IF(3&lt;=12,Assumptions!$B$38,Assumptions!$B$39))*Assumptions!$B$22</f>
        <v>0</v>
      </c>
      <c r="E7" s="4">
        <f>IF(4&lt;=3,Assumptions!$B$37,IF(4&lt;=12,Assumptions!$B$38,Assumptions!$B$39))*Assumptions!$B$22</f>
        <v>4500</v>
      </c>
      <c r="F7" s="4">
        <f>IF(5&lt;=3,Assumptions!$B$37,IF(5&lt;=12,Assumptions!$B$38,Assumptions!$B$39))*Assumptions!$B$22</f>
        <v>4500</v>
      </c>
      <c r="G7" s="4">
        <f>IF(6&lt;=3,Assumptions!$B$37,IF(6&lt;=12,Assumptions!$B$38,Assumptions!$B$39))*Assumptions!$B$22</f>
        <v>4500</v>
      </c>
      <c r="H7" s="4">
        <f>IF(7&lt;=3,Assumptions!$B$37,IF(7&lt;=12,Assumptions!$B$38,Assumptions!$B$39))*Assumptions!$B$22</f>
        <v>4500</v>
      </c>
      <c r="I7" s="4">
        <f>IF(8&lt;=3,Assumptions!$B$37,IF(8&lt;=12,Assumptions!$B$38,Assumptions!$B$39))*Assumptions!$B$22</f>
        <v>4500</v>
      </c>
      <c r="J7" s="4">
        <f>IF(9&lt;=3,Assumptions!$B$37,IF(9&lt;=12,Assumptions!$B$38,Assumptions!$B$39))*Assumptions!$B$22</f>
        <v>4500</v>
      </c>
      <c r="K7" s="4">
        <f>IF(10&lt;=3,Assumptions!$B$37,IF(10&lt;=12,Assumptions!$B$38,Assumptions!$B$39))*Assumptions!$B$22</f>
        <v>4500</v>
      </c>
      <c r="L7" s="4">
        <f>IF(11&lt;=3,Assumptions!$B$37,IF(11&lt;=12,Assumptions!$B$38,Assumptions!$B$39))*Assumptions!$B$22</f>
        <v>4500</v>
      </c>
      <c r="M7" s="4">
        <f>IF(12&lt;=3,Assumptions!$B$37,IF(12&lt;=12,Assumptions!$B$38,Assumptions!$B$39))*Assumptions!$B$22</f>
        <v>4500</v>
      </c>
      <c r="N7" s="4">
        <f>IF(13&lt;=3,Assumptions!$B$37,IF(13&lt;=12,Assumptions!$B$38,Assumptions!$B$39))*Assumptions!$B$22</f>
        <v>6000</v>
      </c>
      <c r="O7" s="4">
        <f>IF(14&lt;=3,Assumptions!$B$37,IF(14&lt;=12,Assumptions!$B$38,Assumptions!$B$39))*Assumptions!$B$22</f>
        <v>6000</v>
      </c>
      <c r="P7" s="4">
        <f>IF(15&lt;=3,Assumptions!$B$37,IF(15&lt;=12,Assumptions!$B$38,Assumptions!$B$39))*Assumptions!$B$22</f>
        <v>6000</v>
      </c>
      <c r="Q7" s="4">
        <f>IF(16&lt;=3,Assumptions!$B$37,IF(16&lt;=12,Assumptions!$B$38,Assumptions!$B$39))*Assumptions!$B$22</f>
        <v>6000</v>
      </c>
      <c r="R7" s="4">
        <f>IF(17&lt;=3,Assumptions!$B$37,IF(17&lt;=12,Assumptions!$B$38,Assumptions!$B$39))*Assumptions!$B$22</f>
        <v>6000</v>
      </c>
      <c r="S7" s="4">
        <f>IF(18&lt;=3,Assumptions!$B$37,IF(18&lt;=12,Assumptions!$B$38,Assumptions!$B$39))*Assumptions!$B$22</f>
        <v>6000</v>
      </c>
      <c r="T7" s="4">
        <f>IF(19&lt;=3,Assumptions!$B$37,IF(19&lt;=12,Assumptions!$B$38,Assumptions!$B$39))*Assumptions!$B$22</f>
        <v>6000</v>
      </c>
      <c r="U7" s="4">
        <f>IF(20&lt;=3,Assumptions!$B$37,IF(20&lt;=12,Assumptions!$B$38,Assumptions!$B$39))*Assumptions!$B$22</f>
        <v>6000</v>
      </c>
      <c r="V7" s="4">
        <f>IF(21&lt;=3,Assumptions!$B$37,IF(21&lt;=12,Assumptions!$B$38,Assumptions!$B$39))*Assumptions!$B$22</f>
        <v>6000</v>
      </c>
      <c r="W7" s="4">
        <f>IF(22&lt;=3,Assumptions!$B$37,IF(22&lt;=12,Assumptions!$B$38,Assumptions!$B$39))*Assumptions!$B$22</f>
        <v>6000</v>
      </c>
      <c r="X7" s="4">
        <f>IF(23&lt;=3,Assumptions!$B$37,IF(23&lt;=12,Assumptions!$B$38,Assumptions!$B$39))*Assumptions!$B$22</f>
        <v>6000</v>
      </c>
      <c r="Y7" s="4">
        <f>IF(24&lt;=3,Assumptions!$B$37,IF(24&lt;=12,Assumptions!$B$38,Assumptions!$B$39))*Assumptions!$B$22</f>
        <v>6000</v>
      </c>
      <c r="Z7" s="4">
        <f t="shared" si="0"/>
        <v>112500</v>
      </c>
    </row>
    <row r="8" spans="1:26" ht="16.5">
      <c r="A8" s="1" t="s">
        <v>119</v>
      </c>
      <c r="B8" s="4">
        <f>IF(1&lt;=3,Assumptions!$B$40,IF(1&lt;=12,Assumptions!$B$41,Assumptions!$B$42))*Assumptions!$B$22</f>
        <v>0</v>
      </c>
      <c r="C8" s="4">
        <f>IF(2&lt;=3,Assumptions!$B$40,IF(2&lt;=12,Assumptions!$B$41,Assumptions!$B$42))*Assumptions!$B$22</f>
        <v>0</v>
      </c>
      <c r="D8" s="4">
        <f>IF(3&lt;=3,Assumptions!$B$40,IF(3&lt;=12,Assumptions!$B$41,Assumptions!$B$42))*Assumptions!$B$22</f>
        <v>0</v>
      </c>
      <c r="E8" s="4">
        <f>IF(4&lt;=3,Assumptions!$B$40,IF(4&lt;=12,Assumptions!$B$41,Assumptions!$B$42))*Assumptions!$B$22</f>
        <v>2250</v>
      </c>
      <c r="F8" s="4">
        <f>IF(5&lt;=3,Assumptions!$B$40,IF(5&lt;=12,Assumptions!$B$41,Assumptions!$B$42))*Assumptions!$B$22</f>
        <v>2250</v>
      </c>
      <c r="G8" s="4">
        <f>IF(6&lt;=3,Assumptions!$B$40,IF(6&lt;=12,Assumptions!$B$41,Assumptions!$B$42))*Assumptions!$B$22</f>
        <v>2250</v>
      </c>
      <c r="H8" s="4">
        <f>IF(7&lt;=3,Assumptions!$B$40,IF(7&lt;=12,Assumptions!$B$41,Assumptions!$B$42))*Assumptions!$B$22</f>
        <v>2250</v>
      </c>
      <c r="I8" s="4">
        <f>IF(8&lt;=3,Assumptions!$B$40,IF(8&lt;=12,Assumptions!$B$41,Assumptions!$B$42))*Assumptions!$B$22</f>
        <v>2250</v>
      </c>
      <c r="J8" s="4">
        <f>IF(9&lt;=3,Assumptions!$B$40,IF(9&lt;=12,Assumptions!$B$41,Assumptions!$B$42))*Assumptions!$B$22</f>
        <v>2250</v>
      </c>
      <c r="K8" s="4">
        <f>IF(10&lt;=3,Assumptions!$B$40,IF(10&lt;=12,Assumptions!$B$41,Assumptions!$B$42))*Assumptions!$B$22</f>
        <v>2250</v>
      </c>
      <c r="L8" s="4">
        <f>IF(11&lt;=3,Assumptions!$B$40,IF(11&lt;=12,Assumptions!$B$41,Assumptions!$B$42))*Assumptions!$B$22</f>
        <v>2250</v>
      </c>
      <c r="M8" s="4">
        <f>IF(12&lt;=3,Assumptions!$B$40,IF(12&lt;=12,Assumptions!$B$41,Assumptions!$B$42))*Assumptions!$B$22</f>
        <v>2250</v>
      </c>
      <c r="N8" s="4">
        <f>IF(13&lt;=3,Assumptions!$B$40,IF(13&lt;=12,Assumptions!$B$41,Assumptions!$B$42))*Assumptions!$B$22</f>
        <v>4500</v>
      </c>
      <c r="O8" s="4">
        <f>IF(14&lt;=3,Assumptions!$B$40,IF(14&lt;=12,Assumptions!$B$41,Assumptions!$B$42))*Assumptions!$B$22</f>
        <v>4500</v>
      </c>
      <c r="P8" s="4">
        <f>IF(15&lt;=3,Assumptions!$B$40,IF(15&lt;=12,Assumptions!$B$41,Assumptions!$B$42))*Assumptions!$B$22</f>
        <v>4500</v>
      </c>
      <c r="Q8" s="4">
        <f>IF(16&lt;=3,Assumptions!$B$40,IF(16&lt;=12,Assumptions!$B$41,Assumptions!$B$42))*Assumptions!$B$22</f>
        <v>4500</v>
      </c>
      <c r="R8" s="4">
        <f>IF(17&lt;=3,Assumptions!$B$40,IF(17&lt;=12,Assumptions!$B$41,Assumptions!$B$42))*Assumptions!$B$22</f>
        <v>4500</v>
      </c>
      <c r="S8" s="4">
        <f>IF(18&lt;=3,Assumptions!$B$40,IF(18&lt;=12,Assumptions!$B$41,Assumptions!$B$42))*Assumptions!$B$22</f>
        <v>4500</v>
      </c>
      <c r="T8" s="4">
        <f>IF(19&lt;=3,Assumptions!$B$40,IF(19&lt;=12,Assumptions!$B$41,Assumptions!$B$42))*Assumptions!$B$22</f>
        <v>4500</v>
      </c>
      <c r="U8" s="4">
        <f>IF(20&lt;=3,Assumptions!$B$40,IF(20&lt;=12,Assumptions!$B$41,Assumptions!$B$42))*Assumptions!$B$22</f>
        <v>4500</v>
      </c>
      <c r="V8" s="4">
        <f>IF(21&lt;=3,Assumptions!$B$40,IF(21&lt;=12,Assumptions!$B$41,Assumptions!$B$42))*Assumptions!$B$22</f>
        <v>4500</v>
      </c>
      <c r="W8" s="4">
        <f>IF(22&lt;=3,Assumptions!$B$40,IF(22&lt;=12,Assumptions!$B$41,Assumptions!$B$42))*Assumptions!$B$22</f>
        <v>4500</v>
      </c>
      <c r="X8" s="4">
        <f>IF(23&lt;=3,Assumptions!$B$40,IF(23&lt;=12,Assumptions!$B$41,Assumptions!$B$42))*Assumptions!$B$22</f>
        <v>4500</v>
      </c>
      <c r="Y8" s="4">
        <f>IF(24&lt;=3,Assumptions!$B$40,IF(24&lt;=12,Assumptions!$B$41,Assumptions!$B$42))*Assumptions!$B$22</f>
        <v>4500</v>
      </c>
      <c r="Z8" s="4">
        <f t="shared" si="0"/>
        <v>74250</v>
      </c>
    </row>
    <row r="9" spans="1:26" ht="16.5">
      <c r="A9" s="1" t="s">
        <v>120</v>
      </c>
      <c r="B9" s="4">
        <f>Assumptions!$B$43*Assumptions!$B$22</f>
        <v>2250</v>
      </c>
      <c r="C9" s="4">
        <f>Assumptions!$B$43*Assumptions!$B$22</f>
        <v>2250</v>
      </c>
      <c r="D9" s="4">
        <f>Assumptions!$B$43*Assumptions!$B$22</f>
        <v>2250</v>
      </c>
      <c r="E9" s="4">
        <f>Assumptions!$B$43*Assumptions!$B$22</f>
        <v>2250</v>
      </c>
      <c r="F9" s="4">
        <f>Assumptions!$B$43*Assumptions!$B$22</f>
        <v>2250</v>
      </c>
      <c r="G9" s="4">
        <f>Assumptions!$B$43*Assumptions!$B$22</f>
        <v>2250</v>
      </c>
      <c r="H9" s="4">
        <f>Assumptions!$B$43*Assumptions!$B$22</f>
        <v>2250</v>
      </c>
      <c r="I9" s="4">
        <f>Assumptions!$B$43*Assumptions!$B$22</f>
        <v>2250</v>
      </c>
      <c r="J9" s="4">
        <f>Assumptions!$B$43*Assumptions!$B$22</f>
        <v>2250</v>
      </c>
      <c r="K9" s="4">
        <f>Assumptions!$B$43*Assumptions!$B$22</f>
        <v>2250</v>
      </c>
      <c r="L9" s="4">
        <f>Assumptions!$B$43*Assumptions!$B$22</f>
        <v>2250</v>
      </c>
      <c r="M9" s="4">
        <f>Assumptions!$B$43*Assumptions!$B$22</f>
        <v>2250</v>
      </c>
      <c r="N9" s="4">
        <f>Assumptions!$B$43*Assumptions!$B$22</f>
        <v>2250</v>
      </c>
      <c r="O9" s="4">
        <f>Assumptions!$B$43*Assumptions!$B$22</f>
        <v>2250</v>
      </c>
      <c r="P9" s="4">
        <f>Assumptions!$B$43*Assumptions!$B$22</f>
        <v>2250</v>
      </c>
      <c r="Q9" s="4">
        <f>Assumptions!$B$43*Assumptions!$B$22</f>
        <v>2250</v>
      </c>
      <c r="R9" s="4">
        <f>Assumptions!$B$43*Assumptions!$B$22</f>
        <v>2250</v>
      </c>
      <c r="S9" s="4">
        <f>Assumptions!$B$43*Assumptions!$B$22</f>
        <v>2250</v>
      </c>
      <c r="T9" s="4">
        <f>Assumptions!$B$43*Assumptions!$B$22</f>
        <v>2250</v>
      </c>
      <c r="U9" s="4">
        <f>Assumptions!$B$43*Assumptions!$B$22</f>
        <v>2250</v>
      </c>
      <c r="V9" s="4">
        <f>Assumptions!$B$43*Assumptions!$B$22</f>
        <v>2250</v>
      </c>
      <c r="W9" s="4">
        <f>Assumptions!$B$43*Assumptions!$B$22</f>
        <v>2250</v>
      </c>
      <c r="X9" s="4">
        <f>Assumptions!$B$43*Assumptions!$B$22</f>
        <v>2250</v>
      </c>
      <c r="Y9" s="4">
        <f>Assumptions!$B$43*Assumptions!$B$22</f>
        <v>2250</v>
      </c>
      <c r="Z9" s="4">
        <f t="shared" si="0"/>
        <v>54000</v>
      </c>
    </row>
    <row r="10" spans="1:26" ht="16.5">
      <c r="A10" s="1" t="s">
        <v>121</v>
      </c>
      <c r="B10" s="4">
        <f>SUMIF(Assumptions!$F$47:$F$50,1,Assumptions!$G$47:$G$50)*Assumptions!$B$22</f>
        <v>0</v>
      </c>
      <c r="C10" s="4">
        <f>SUMIF(Assumptions!$F$47:$F$50,2,Assumptions!$G$47:$G$50)*Assumptions!$B$22</f>
        <v>0</v>
      </c>
      <c r="D10" s="4">
        <f>SUMIF(Assumptions!$F$47:$F$50,3,Assumptions!$G$47:$G$50)*Assumptions!$B$22</f>
        <v>0</v>
      </c>
      <c r="E10" s="4">
        <f>SUMIF(Assumptions!$F$47:$F$50,4,Assumptions!$G$47:$G$50)*Assumptions!$B$22</f>
        <v>0</v>
      </c>
      <c r="F10" s="4">
        <f>SUMIF(Assumptions!$F$47:$F$50,5,Assumptions!$G$47:$G$50)*Assumptions!$B$22</f>
        <v>0</v>
      </c>
      <c r="G10" s="4">
        <f>SUMIF(Assumptions!$F$47:$F$50,6,Assumptions!$G$47:$G$50)*Assumptions!$B$22</f>
        <v>22500</v>
      </c>
      <c r="H10" s="4">
        <f>SUMIF(Assumptions!$F$47:$F$50,7,Assumptions!$G$47:$G$50)*Assumptions!$B$22</f>
        <v>0</v>
      </c>
      <c r="I10" s="4">
        <f>SUMIF(Assumptions!$F$47:$F$50,8,Assumptions!$G$47:$G$50)*Assumptions!$B$22</f>
        <v>0</v>
      </c>
      <c r="J10" s="4">
        <f>SUMIF(Assumptions!$F$47:$F$50,9,Assumptions!$G$47:$G$50)*Assumptions!$B$22</f>
        <v>0</v>
      </c>
      <c r="K10" s="4">
        <f>SUMIF(Assumptions!$F$47:$F$50,10,Assumptions!$G$47:$G$50)*Assumptions!$B$22</f>
        <v>0</v>
      </c>
      <c r="L10" s="4">
        <f>SUMIF(Assumptions!$F$47:$F$50,11,Assumptions!$G$47:$G$50)*Assumptions!$B$22</f>
        <v>0</v>
      </c>
      <c r="M10" s="4">
        <f>SUMIF(Assumptions!$F$47:$F$50,12,Assumptions!$G$47:$G$50)*Assumptions!$B$22</f>
        <v>30000</v>
      </c>
      <c r="N10" s="4">
        <f>SUMIF(Assumptions!$F$47:$F$50,13,Assumptions!$G$47:$G$50)*Assumptions!$B$22</f>
        <v>0</v>
      </c>
      <c r="O10" s="4">
        <f>SUMIF(Assumptions!$F$47:$F$50,14,Assumptions!$G$47:$G$50)*Assumptions!$B$22</f>
        <v>0</v>
      </c>
      <c r="P10" s="4">
        <f>SUMIF(Assumptions!$F$47:$F$50,15,Assumptions!$G$47:$G$50)*Assumptions!$B$22</f>
        <v>0</v>
      </c>
      <c r="Q10" s="4">
        <f>SUMIF(Assumptions!$F$47:$F$50,16,Assumptions!$G$47:$G$50)*Assumptions!$B$22</f>
        <v>0</v>
      </c>
      <c r="R10" s="4">
        <f>SUMIF(Assumptions!$F$47:$F$50,17,Assumptions!$G$47:$G$50)*Assumptions!$B$22</f>
        <v>0</v>
      </c>
      <c r="S10" s="4">
        <f>SUMIF(Assumptions!$F$47:$F$50,18,Assumptions!$G$47:$G$50)*Assumptions!$B$22</f>
        <v>30000</v>
      </c>
      <c r="T10" s="4">
        <f>SUMIF(Assumptions!$F$47:$F$50,19,Assumptions!$G$47:$G$50)*Assumptions!$B$22</f>
        <v>0</v>
      </c>
      <c r="U10" s="4">
        <f>SUMIF(Assumptions!$F$47:$F$50,20,Assumptions!$G$47:$G$50)*Assumptions!$B$22</f>
        <v>0</v>
      </c>
      <c r="V10" s="4">
        <f>SUMIF(Assumptions!$F$47:$F$50,21,Assumptions!$G$47:$G$50)*Assumptions!$B$22</f>
        <v>0</v>
      </c>
      <c r="W10" s="4">
        <f>SUMIF(Assumptions!$F$47:$F$50,22,Assumptions!$G$47:$G$50)*Assumptions!$B$22</f>
        <v>0</v>
      </c>
      <c r="X10" s="4">
        <f>SUMIF(Assumptions!$F$47:$F$50,23,Assumptions!$G$47:$G$50)*Assumptions!$B$22</f>
        <v>0</v>
      </c>
      <c r="Y10" s="4">
        <f>SUMIF(Assumptions!$F$47:$F$50,24,Assumptions!$G$47:$G$50)*Assumptions!$B$22</f>
        <v>30000</v>
      </c>
      <c r="Z10" s="4">
        <f t="shared" si="0"/>
        <v>112500</v>
      </c>
    </row>
    <row r="11" spans="1:26" ht="16.5">
      <c r="A11" s="1" t="s">
        <v>122</v>
      </c>
      <c r="B11" s="4">
        <f>Cohorts!B10</f>
        <v>0</v>
      </c>
      <c r="C11" s="4">
        <f>Cohorts!C10</f>
        <v>0</v>
      </c>
      <c r="D11" s="4">
        <f>Cohorts!D10</f>
        <v>0</v>
      </c>
      <c r="E11" s="4">
        <f>Cohorts!E10</f>
        <v>0</v>
      </c>
      <c r="F11" s="4">
        <f>Cohorts!F10</f>
        <v>0</v>
      </c>
      <c r="G11" s="4">
        <f>Cohorts!G10</f>
        <v>0</v>
      </c>
      <c r="H11" s="4">
        <f>Cohorts!H10</f>
        <v>0</v>
      </c>
      <c r="I11" s="4">
        <f>Cohorts!I10</f>
        <v>0</v>
      </c>
      <c r="J11" s="4">
        <f>Cohorts!J10</f>
        <v>0</v>
      </c>
      <c r="K11" s="4">
        <f>Cohorts!K10</f>
        <v>0</v>
      </c>
      <c r="L11" s="4">
        <f>Cohorts!L10</f>
        <v>0</v>
      </c>
      <c r="M11" s="4">
        <f>Cohorts!M10</f>
        <v>0</v>
      </c>
      <c r="N11" s="4">
        <f>Cohorts!N10</f>
        <v>0</v>
      </c>
      <c r="O11" s="4">
        <f>Cohorts!O10</f>
        <v>0</v>
      </c>
      <c r="P11" s="4">
        <f>Cohorts!P10</f>
        <v>0</v>
      </c>
      <c r="Q11" s="4">
        <f>Cohorts!Q10</f>
        <v>0</v>
      </c>
      <c r="R11" s="4">
        <f>Cohorts!R10</f>
        <v>0</v>
      </c>
      <c r="S11" s="4">
        <f>Cohorts!S10</f>
        <v>0</v>
      </c>
      <c r="T11" s="4">
        <f>Cohorts!T10</f>
        <v>101575.052088</v>
      </c>
      <c r="U11" s="4">
        <f>Cohorts!U10</f>
        <v>101575.052088</v>
      </c>
      <c r="V11" s="4">
        <f>Cohorts!V10</f>
        <v>101575.052088</v>
      </c>
      <c r="W11" s="4">
        <f>Cohorts!W10</f>
        <v>203028.20371199999</v>
      </c>
      <c r="X11" s="4">
        <f>Cohorts!X10</f>
        <v>203028.20371199999</v>
      </c>
      <c r="Y11" s="4">
        <f>Cohorts!Y10</f>
        <v>203028.20371199999</v>
      </c>
      <c r="Z11" s="4">
        <f t="shared" si="0"/>
        <v>913809.76740000001</v>
      </c>
    </row>
    <row r="12" spans="1:26" ht="16.5">
      <c r="A12" s="1" t="s">
        <v>123</v>
      </c>
      <c r="B12" s="4">
        <f>IF(1=Assumptions!$B$10,Assumptions!$B$7,0)</f>
        <v>0</v>
      </c>
      <c r="C12" s="4">
        <f>IF(2=Assumptions!$B$10,Assumptions!$B$7,0)</f>
        <v>0</v>
      </c>
      <c r="D12" s="4">
        <f>IF(3=Assumptions!$B$10,Assumptions!$B$7,0)</f>
        <v>0</v>
      </c>
      <c r="E12" s="4">
        <f>IF(4=Assumptions!$B$10,Assumptions!$B$7,0)</f>
        <v>0</v>
      </c>
      <c r="F12" s="4">
        <f>IF(5=Assumptions!$B$10,Assumptions!$B$7,0)</f>
        <v>0</v>
      </c>
      <c r="G12" s="4">
        <f>IF(6=Assumptions!$B$10,Assumptions!$B$7,0)</f>
        <v>0</v>
      </c>
      <c r="H12" s="4">
        <f>IF(7=Assumptions!$B$10,Assumptions!$B$7,0)</f>
        <v>0</v>
      </c>
      <c r="I12" s="4">
        <f>IF(8=Assumptions!$B$10,Assumptions!$B$7,0)</f>
        <v>0</v>
      </c>
      <c r="J12" s="4">
        <f>IF(9=Assumptions!$B$10,Assumptions!$B$7,0)</f>
        <v>0</v>
      </c>
      <c r="K12" s="4">
        <f>IF(10=Assumptions!$B$10,Assumptions!$B$7,0)</f>
        <v>0</v>
      </c>
      <c r="L12" s="4">
        <f>IF(11=Assumptions!$B$10,Assumptions!$B$7,0)</f>
        <v>0</v>
      </c>
      <c r="M12" s="4">
        <f>IF(12=Assumptions!$B$10,Assumptions!$B$7,0)</f>
        <v>0</v>
      </c>
      <c r="N12" s="4">
        <f>IF(13=Assumptions!$B$10,Assumptions!$B$7,0)</f>
        <v>0</v>
      </c>
      <c r="O12" s="4">
        <f>IF(14=Assumptions!$B$10,Assumptions!$B$7,0)</f>
        <v>0</v>
      </c>
      <c r="P12" s="4">
        <f>IF(15=Assumptions!$B$10,Assumptions!$B$7,0)</f>
        <v>0</v>
      </c>
      <c r="Q12" s="4">
        <f>IF(16=Assumptions!$B$10,Assumptions!$B$7,0)</f>
        <v>0</v>
      </c>
      <c r="R12" s="4">
        <f>IF(17=Assumptions!$B$10,Assumptions!$B$7,0)</f>
        <v>0</v>
      </c>
      <c r="S12" s="4">
        <f>IF(18=Assumptions!$B$10,Assumptions!$B$7,0)</f>
        <v>0</v>
      </c>
      <c r="T12" s="4">
        <f>IF(19=Assumptions!$B$10,Assumptions!$B$7,0)</f>
        <v>0</v>
      </c>
      <c r="U12" s="4">
        <f>IF(20=Assumptions!$B$10,Assumptions!$B$7,0)</f>
        <v>0</v>
      </c>
      <c r="V12" s="4">
        <f>IF(21=Assumptions!$B$10,Assumptions!$B$7,0)</f>
        <v>0</v>
      </c>
      <c r="W12" s="4">
        <f>IF(22=Assumptions!$B$10,Assumptions!$B$7,0)</f>
        <v>0</v>
      </c>
      <c r="X12" s="4">
        <f>IF(23=Assumptions!$B$10,Assumptions!$B$7,0)</f>
        <v>0</v>
      </c>
      <c r="Y12" s="4">
        <f>IF(24=Assumptions!$B$10,Assumptions!$B$7,0)</f>
        <v>0</v>
      </c>
      <c r="Z12" s="4">
        <f t="shared" si="0"/>
        <v>0</v>
      </c>
    </row>
    <row r="13" spans="1:26" ht="16.5">
      <c r="A13" s="1" t="s">
        <v>124</v>
      </c>
      <c r="B13" s="4">
        <f t="shared" ref="B13:Y13" si="1">SUM(B4:B12)</f>
        <v>39389.357900000003</v>
      </c>
      <c r="C13" s="4">
        <f t="shared" si="1"/>
        <v>39389.357900000003</v>
      </c>
      <c r="D13" s="4">
        <f t="shared" si="1"/>
        <v>39389.357900000003</v>
      </c>
      <c r="E13" s="4">
        <f t="shared" si="1"/>
        <v>46139.357900000003</v>
      </c>
      <c r="F13" s="4">
        <f t="shared" si="1"/>
        <v>46139.357900000003</v>
      </c>
      <c r="G13" s="4">
        <f t="shared" si="1"/>
        <v>68639.357900000003</v>
      </c>
      <c r="H13" s="4">
        <f t="shared" si="1"/>
        <v>65834.036850000004</v>
      </c>
      <c r="I13" s="4">
        <f t="shared" si="1"/>
        <v>65834.036850000004</v>
      </c>
      <c r="J13" s="4">
        <f t="shared" si="1"/>
        <v>65834.036850000004</v>
      </c>
      <c r="K13" s="4">
        <f t="shared" si="1"/>
        <v>65834.036850000004</v>
      </c>
      <c r="L13" s="4">
        <f t="shared" si="1"/>
        <v>65834.036850000004</v>
      </c>
      <c r="M13" s="4">
        <f t="shared" si="1"/>
        <v>95834.036850000004</v>
      </c>
      <c r="N13" s="4">
        <f t="shared" si="1"/>
        <v>71834.036850000004</v>
      </c>
      <c r="O13" s="4">
        <f t="shared" si="1"/>
        <v>71834.036850000004</v>
      </c>
      <c r="P13" s="4">
        <f t="shared" si="1"/>
        <v>71834.036850000004</v>
      </c>
      <c r="Q13" s="4">
        <f t="shared" si="1"/>
        <v>71834.036850000004</v>
      </c>
      <c r="R13" s="4">
        <f t="shared" si="1"/>
        <v>71834.036850000004</v>
      </c>
      <c r="S13" s="4">
        <f t="shared" si="1"/>
        <v>101834.03685</v>
      </c>
      <c r="T13" s="4">
        <f t="shared" si="1"/>
        <v>173409.088938</v>
      </c>
      <c r="U13" s="4">
        <f t="shared" si="1"/>
        <v>173409.088938</v>
      </c>
      <c r="V13" s="4">
        <f t="shared" si="1"/>
        <v>173409.088938</v>
      </c>
      <c r="W13" s="4">
        <f t="shared" si="1"/>
        <v>274862.24056199996</v>
      </c>
      <c r="X13" s="4">
        <f t="shared" si="1"/>
        <v>274862.24056199996</v>
      </c>
      <c r="Y13" s="4">
        <f t="shared" si="1"/>
        <v>304862.24056199996</v>
      </c>
      <c r="Z13" s="4">
        <f t="shared" si="0"/>
        <v>2539908.5780999996</v>
      </c>
    </row>
    <row r="14" spans="1:26" ht="16.5">
      <c r="A14" s="1" t="s">
        <v>125</v>
      </c>
      <c r="B14" s="4">
        <f>SUMIF(Assumptions!$F$54:$F$55,1,Assumptions!$G$54:$G$55)*Assumptions!$B$22</f>
        <v>37500</v>
      </c>
      <c r="C14" s="4">
        <f>SUMIF(Assumptions!$F$54:$F$55,2,Assumptions!$G$54:$G$55)*Assumptions!$B$22</f>
        <v>0</v>
      </c>
      <c r="D14" s="4">
        <f>SUMIF(Assumptions!$F$54:$F$55,3,Assumptions!$G$54:$G$55)*Assumptions!$B$22</f>
        <v>0</v>
      </c>
      <c r="E14" s="4">
        <f>SUMIF(Assumptions!$F$54:$F$55,4,Assumptions!$G$54:$G$55)*Assumptions!$B$22</f>
        <v>0</v>
      </c>
      <c r="F14" s="4">
        <f>SUMIF(Assumptions!$F$54:$F$55,5,Assumptions!$G$54:$G$55)*Assumptions!$B$22</f>
        <v>0</v>
      </c>
      <c r="G14" s="4">
        <f>SUMIF(Assumptions!$F$54:$F$55,6,Assumptions!$G$54:$G$55)*Assumptions!$B$22</f>
        <v>0</v>
      </c>
      <c r="H14" s="4">
        <f>SUMIF(Assumptions!$F$54:$F$55,7,Assumptions!$G$54:$G$55)*Assumptions!$B$22</f>
        <v>22500</v>
      </c>
      <c r="I14" s="4">
        <f>SUMIF(Assumptions!$F$54:$F$55,8,Assumptions!$G$54:$G$55)*Assumptions!$B$22</f>
        <v>0</v>
      </c>
      <c r="J14" s="4">
        <f>SUMIF(Assumptions!$F$54:$F$55,9,Assumptions!$G$54:$G$55)*Assumptions!$B$22</f>
        <v>0</v>
      </c>
      <c r="K14" s="4">
        <f>SUMIF(Assumptions!$F$54:$F$55,10,Assumptions!$G$54:$G$55)*Assumptions!$B$22</f>
        <v>0</v>
      </c>
      <c r="L14" s="4">
        <f>SUMIF(Assumptions!$F$54:$F$55,11,Assumptions!$G$54:$G$55)*Assumptions!$B$22</f>
        <v>0</v>
      </c>
      <c r="M14" s="4">
        <f>SUMIF(Assumptions!$F$54:$F$55,12,Assumptions!$G$54:$G$55)*Assumptions!$B$22</f>
        <v>0</v>
      </c>
      <c r="N14" s="4">
        <f>SUMIF(Assumptions!$F$54:$F$55,13,Assumptions!$G$54:$G$55)*Assumptions!$B$22</f>
        <v>0</v>
      </c>
      <c r="O14" s="4">
        <f>SUMIF(Assumptions!$F$54:$F$55,14,Assumptions!$G$54:$G$55)*Assumptions!$B$22</f>
        <v>0</v>
      </c>
      <c r="P14" s="4">
        <f>SUMIF(Assumptions!$F$54:$F$55,15,Assumptions!$G$54:$G$55)*Assumptions!$B$22</f>
        <v>0</v>
      </c>
      <c r="Q14" s="4">
        <f>SUMIF(Assumptions!$F$54:$F$55,16,Assumptions!$G$54:$G$55)*Assumptions!$B$22</f>
        <v>0</v>
      </c>
      <c r="R14" s="4">
        <f>SUMIF(Assumptions!$F$54:$F$55,17,Assumptions!$G$54:$G$55)*Assumptions!$B$22</f>
        <v>0</v>
      </c>
      <c r="S14" s="4">
        <f>SUMIF(Assumptions!$F$54:$F$55,18,Assumptions!$G$54:$G$55)*Assumptions!$B$22</f>
        <v>0</v>
      </c>
      <c r="T14" s="4">
        <f>SUMIF(Assumptions!$F$54:$F$55,19,Assumptions!$G$54:$G$55)*Assumptions!$B$22</f>
        <v>0</v>
      </c>
      <c r="U14" s="4">
        <f>SUMIF(Assumptions!$F$54:$F$55,20,Assumptions!$G$54:$G$55)*Assumptions!$B$22</f>
        <v>0</v>
      </c>
      <c r="V14" s="4">
        <f>SUMIF(Assumptions!$F$54:$F$55,21,Assumptions!$G$54:$G$55)*Assumptions!$B$22</f>
        <v>0</v>
      </c>
      <c r="W14" s="4">
        <f>SUMIF(Assumptions!$F$54:$F$55,22,Assumptions!$G$54:$G$55)*Assumptions!$B$22</f>
        <v>0</v>
      </c>
      <c r="X14" s="4">
        <f>SUMIF(Assumptions!$F$54:$F$55,23,Assumptions!$G$54:$G$55)*Assumptions!$B$22</f>
        <v>0</v>
      </c>
      <c r="Y14" s="4">
        <f>SUMIF(Assumptions!$F$54:$F$55,24,Assumptions!$G$54:$G$55)*Assumptions!$B$22</f>
        <v>0</v>
      </c>
      <c r="Z14" s="4">
        <f t="shared" si="0"/>
        <v>60000</v>
      </c>
    </row>
    <row r="15" spans="1:26" ht="16.5">
      <c r="A15" s="1" t="s">
        <v>126</v>
      </c>
      <c r="B15" s="4">
        <f>SUMPRODUCT((1-Assumptions!$F$54:$F$55+1&gt;0)*(1-Assumptions!$F$54:$F$55+1&lt;=Assumptions!$B$11)*Assumptions!$G$54:$G$55)*Assumptions!$B$22/Assumptions!$B$11</f>
        <v>1041.6666666666667</v>
      </c>
      <c r="C15" s="4">
        <f>SUMPRODUCT((2-Assumptions!$F$54:$F$55+1&gt;0)*(2-Assumptions!$F$54:$F$55+1&lt;=Assumptions!$B$11)*Assumptions!$G$54:$G$55)*Assumptions!$B$22/Assumptions!$B$11</f>
        <v>1041.6666666666667</v>
      </c>
      <c r="D15" s="4">
        <f>SUMPRODUCT((3-Assumptions!$F$54:$F$55+1&gt;0)*(3-Assumptions!$F$54:$F$55+1&lt;=Assumptions!$B$11)*Assumptions!$G$54:$G$55)*Assumptions!$B$22/Assumptions!$B$11</f>
        <v>1041.6666666666667</v>
      </c>
      <c r="E15" s="4">
        <f>SUMPRODUCT((4-Assumptions!$F$54:$F$55+1&gt;0)*(4-Assumptions!$F$54:$F$55+1&lt;=Assumptions!$B$11)*Assumptions!$G$54:$G$55)*Assumptions!$B$22/Assumptions!$B$11</f>
        <v>1041.6666666666667</v>
      </c>
      <c r="F15" s="4">
        <f>SUMPRODUCT((5-Assumptions!$F$54:$F$55+1&gt;0)*(5-Assumptions!$F$54:$F$55+1&lt;=Assumptions!$B$11)*Assumptions!$G$54:$G$55)*Assumptions!$B$22/Assumptions!$B$11</f>
        <v>1041.6666666666667</v>
      </c>
      <c r="G15" s="4">
        <f>SUMPRODUCT((6-Assumptions!$F$54:$F$55+1&gt;0)*(6-Assumptions!$F$54:$F$55+1&lt;=Assumptions!$B$11)*Assumptions!$G$54:$G$55)*Assumptions!$B$22/Assumptions!$B$11</f>
        <v>1041.6666666666667</v>
      </c>
      <c r="H15" s="4">
        <f>SUMPRODUCT((7-Assumptions!$F$54:$F$55+1&gt;0)*(7-Assumptions!$F$54:$F$55+1&lt;=Assumptions!$B$11)*Assumptions!$G$54:$G$55)*Assumptions!$B$22/Assumptions!$B$11</f>
        <v>1666.6666666666667</v>
      </c>
      <c r="I15" s="4">
        <f>SUMPRODUCT((8-Assumptions!$F$54:$F$55+1&gt;0)*(8-Assumptions!$F$54:$F$55+1&lt;=Assumptions!$B$11)*Assumptions!$G$54:$G$55)*Assumptions!$B$22/Assumptions!$B$11</f>
        <v>1666.6666666666667</v>
      </c>
      <c r="J15" s="4">
        <f>SUMPRODUCT((9-Assumptions!$F$54:$F$55+1&gt;0)*(9-Assumptions!$F$54:$F$55+1&lt;=Assumptions!$B$11)*Assumptions!$G$54:$G$55)*Assumptions!$B$22/Assumptions!$B$11</f>
        <v>1666.6666666666667</v>
      </c>
      <c r="K15" s="4">
        <f>SUMPRODUCT((10-Assumptions!$F$54:$F$55+1&gt;0)*(10-Assumptions!$F$54:$F$55+1&lt;=Assumptions!$B$11)*Assumptions!$G$54:$G$55)*Assumptions!$B$22/Assumptions!$B$11</f>
        <v>1666.6666666666667</v>
      </c>
      <c r="L15" s="4">
        <f>SUMPRODUCT((11-Assumptions!$F$54:$F$55+1&gt;0)*(11-Assumptions!$F$54:$F$55+1&lt;=Assumptions!$B$11)*Assumptions!$G$54:$G$55)*Assumptions!$B$22/Assumptions!$B$11</f>
        <v>1666.6666666666667</v>
      </c>
      <c r="M15" s="4">
        <f>SUMPRODUCT((12-Assumptions!$F$54:$F$55+1&gt;0)*(12-Assumptions!$F$54:$F$55+1&lt;=Assumptions!$B$11)*Assumptions!$G$54:$G$55)*Assumptions!$B$22/Assumptions!$B$11</f>
        <v>1666.6666666666667</v>
      </c>
      <c r="N15" s="4">
        <f>SUMPRODUCT((13-Assumptions!$F$54:$F$55+1&gt;0)*(13-Assumptions!$F$54:$F$55+1&lt;=Assumptions!$B$11)*Assumptions!$G$54:$G$55)*Assumptions!$B$22/Assumptions!$B$11</f>
        <v>1666.6666666666667</v>
      </c>
      <c r="O15" s="4">
        <f>SUMPRODUCT((14-Assumptions!$F$54:$F$55+1&gt;0)*(14-Assumptions!$F$54:$F$55+1&lt;=Assumptions!$B$11)*Assumptions!$G$54:$G$55)*Assumptions!$B$22/Assumptions!$B$11</f>
        <v>1666.6666666666667</v>
      </c>
      <c r="P15" s="4">
        <f>SUMPRODUCT((15-Assumptions!$F$54:$F$55+1&gt;0)*(15-Assumptions!$F$54:$F$55+1&lt;=Assumptions!$B$11)*Assumptions!$G$54:$G$55)*Assumptions!$B$22/Assumptions!$B$11</f>
        <v>1666.6666666666667</v>
      </c>
      <c r="Q15" s="4">
        <f>SUMPRODUCT((16-Assumptions!$F$54:$F$55+1&gt;0)*(16-Assumptions!$F$54:$F$55+1&lt;=Assumptions!$B$11)*Assumptions!$G$54:$G$55)*Assumptions!$B$22/Assumptions!$B$11</f>
        <v>1666.6666666666667</v>
      </c>
      <c r="R15" s="4">
        <f>SUMPRODUCT((17-Assumptions!$F$54:$F$55+1&gt;0)*(17-Assumptions!$F$54:$F$55+1&lt;=Assumptions!$B$11)*Assumptions!$G$54:$G$55)*Assumptions!$B$22/Assumptions!$B$11</f>
        <v>1666.6666666666667</v>
      </c>
      <c r="S15" s="4">
        <f>SUMPRODUCT((18-Assumptions!$F$54:$F$55+1&gt;0)*(18-Assumptions!$F$54:$F$55+1&lt;=Assumptions!$B$11)*Assumptions!$G$54:$G$55)*Assumptions!$B$22/Assumptions!$B$11</f>
        <v>1666.6666666666667</v>
      </c>
      <c r="T15" s="4">
        <f>SUMPRODUCT((19-Assumptions!$F$54:$F$55+1&gt;0)*(19-Assumptions!$F$54:$F$55+1&lt;=Assumptions!$B$11)*Assumptions!$G$54:$G$55)*Assumptions!$B$22/Assumptions!$B$11</f>
        <v>1666.6666666666667</v>
      </c>
      <c r="U15" s="4">
        <f>SUMPRODUCT((20-Assumptions!$F$54:$F$55+1&gt;0)*(20-Assumptions!$F$54:$F$55+1&lt;=Assumptions!$B$11)*Assumptions!$G$54:$G$55)*Assumptions!$B$22/Assumptions!$B$11</f>
        <v>1666.6666666666667</v>
      </c>
      <c r="V15" s="4">
        <f>SUMPRODUCT((21-Assumptions!$F$54:$F$55+1&gt;0)*(21-Assumptions!$F$54:$F$55+1&lt;=Assumptions!$B$11)*Assumptions!$G$54:$G$55)*Assumptions!$B$22/Assumptions!$B$11</f>
        <v>1666.6666666666667</v>
      </c>
      <c r="W15" s="4">
        <f>SUMPRODUCT((22-Assumptions!$F$54:$F$55+1&gt;0)*(22-Assumptions!$F$54:$F$55+1&lt;=Assumptions!$B$11)*Assumptions!$G$54:$G$55)*Assumptions!$B$22/Assumptions!$B$11</f>
        <v>1666.6666666666667</v>
      </c>
      <c r="X15" s="4">
        <f>SUMPRODUCT((23-Assumptions!$F$54:$F$55+1&gt;0)*(23-Assumptions!$F$54:$F$55+1&lt;=Assumptions!$B$11)*Assumptions!$G$54:$G$55)*Assumptions!$B$22/Assumptions!$B$11</f>
        <v>1666.6666666666667</v>
      </c>
      <c r="Y15" s="4">
        <f>SUMPRODUCT((24-Assumptions!$F$54:$F$55+1&gt;0)*(24-Assumptions!$F$54:$F$55+1&lt;=Assumptions!$B$11)*Assumptions!$G$54:$G$55)*Assumptions!$B$22/Assumptions!$B$11</f>
        <v>1666.6666666666667</v>
      </c>
      <c r="Z15" s="4">
        <f t="shared" si="0"/>
        <v>36250</v>
      </c>
    </row>
    <row r="16" spans="1:26" ht="16.5">
      <c r="A16" s="1" t="s">
        <v>127</v>
      </c>
      <c r="B16" s="4">
        <f t="shared" ref="B16:Y16" si="2">B13+B15</f>
        <v>40431.024566666667</v>
      </c>
      <c r="C16" s="4">
        <f t="shared" si="2"/>
        <v>40431.024566666667</v>
      </c>
      <c r="D16" s="4">
        <f t="shared" si="2"/>
        <v>40431.024566666667</v>
      </c>
      <c r="E16" s="4">
        <f t="shared" si="2"/>
        <v>47181.024566666667</v>
      </c>
      <c r="F16" s="4">
        <f t="shared" si="2"/>
        <v>47181.024566666667</v>
      </c>
      <c r="G16" s="4">
        <f t="shared" si="2"/>
        <v>69681.024566666674</v>
      </c>
      <c r="H16" s="4">
        <f t="shared" si="2"/>
        <v>67500.703516666676</v>
      </c>
      <c r="I16" s="4">
        <f t="shared" si="2"/>
        <v>67500.703516666676</v>
      </c>
      <c r="J16" s="4">
        <f t="shared" si="2"/>
        <v>67500.703516666676</v>
      </c>
      <c r="K16" s="4">
        <f t="shared" si="2"/>
        <v>67500.703516666676</v>
      </c>
      <c r="L16" s="4">
        <f t="shared" si="2"/>
        <v>67500.703516666676</v>
      </c>
      <c r="M16" s="4">
        <f t="shared" si="2"/>
        <v>97500.703516666676</v>
      </c>
      <c r="N16" s="4">
        <f t="shared" si="2"/>
        <v>73500.703516666676</v>
      </c>
      <c r="O16" s="4">
        <f t="shared" si="2"/>
        <v>73500.703516666676</v>
      </c>
      <c r="P16" s="4">
        <f t="shared" si="2"/>
        <v>73500.703516666676</v>
      </c>
      <c r="Q16" s="4">
        <f t="shared" si="2"/>
        <v>73500.703516666676</v>
      </c>
      <c r="R16" s="4">
        <f t="shared" si="2"/>
        <v>73500.703516666676</v>
      </c>
      <c r="S16" s="4">
        <f t="shared" si="2"/>
        <v>103500.70351666668</v>
      </c>
      <c r="T16" s="4">
        <f t="shared" si="2"/>
        <v>175075.75560466666</v>
      </c>
      <c r="U16" s="4">
        <f t="shared" si="2"/>
        <v>175075.75560466666</v>
      </c>
      <c r="V16" s="4">
        <f t="shared" si="2"/>
        <v>175075.75560466666</v>
      </c>
      <c r="W16" s="4">
        <f t="shared" si="2"/>
        <v>276528.90722866665</v>
      </c>
      <c r="X16" s="4">
        <f t="shared" si="2"/>
        <v>276528.90722866665</v>
      </c>
      <c r="Y16" s="4">
        <f t="shared" si="2"/>
        <v>306528.90722866665</v>
      </c>
      <c r="Z16" s="4">
        <f t="shared" si="0"/>
        <v>2576158.5781</v>
      </c>
    </row>
    <row r="17" spans="1:26" ht="16.5">
      <c r="A17" s="1" t="s">
        <v>128</v>
      </c>
      <c r="B17" s="4">
        <f t="shared" ref="B17:Y17" si="3">SUM(B4:B10)</f>
        <v>39389.357900000003</v>
      </c>
      <c r="C17" s="4">
        <f t="shared" si="3"/>
        <v>39389.357900000003</v>
      </c>
      <c r="D17" s="4">
        <f t="shared" si="3"/>
        <v>39389.357900000003</v>
      </c>
      <c r="E17" s="4">
        <f t="shared" si="3"/>
        <v>46139.357900000003</v>
      </c>
      <c r="F17" s="4">
        <f t="shared" si="3"/>
        <v>46139.357900000003</v>
      </c>
      <c r="G17" s="4">
        <f t="shared" si="3"/>
        <v>68639.357900000003</v>
      </c>
      <c r="H17" s="4">
        <f t="shared" si="3"/>
        <v>65834.036850000004</v>
      </c>
      <c r="I17" s="4">
        <f t="shared" si="3"/>
        <v>65834.036850000004</v>
      </c>
      <c r="J17" s="4">
        <f t="shared" si="3"/>
        <v>65834.036850000004</v>
      </c>
      <c r="K17" s="4">
        <f t="shared" si="3"/>
        <v>65834.036850000004</v>
      </c>
      <c r="L17" s="4">
        <f t="shared" si="3"/>
        <v>65834.036850000004</v>
      </c>
      <c r="M17" s="4">
        <f t="shared" si="3"/>
        <v>95834.036850000004</v>
      </c>
      <c r="N17" s="4">
        <f t="shared" si="3"/>
        <v>71834.036850000004</v>
      </c>
      <c r="O17" s="4">
        <f t="shared" si="3"/>
        <v>71834.036850000004</v>
      </c>
      <c r="P17" s="4">
        <f t="shared" si="3"/>
        <v>71834.036850000004</v>
      </c>
      <c r="Q17" s="4">
        <f t="shared" si="3"/>
        <v>71834.036850000004</v>
      </c>
      <c r="R17" s="4">
        <f t="shared" si="3"/>
        <v>71834.036850000004</v>
      </c>
      <c r="S17" s="4">
        <f t="shared" si="3"/>
        <v>101834.03685</v>
      </c>
      <c r="T17" s="4">
        <f t="shared" si="3"/>
        <v>71834.036850000004</v>
      </c>
      <c r="U17" s="4">
        <f t="shared" si="3"/>
        <v>71834.036850000004</v>
      </c>
      <c r="V17" s="4">
        <f t="shared" si="3"/>
        <v>71834.036850000004</v>
      </c>
      <c r="W17" s="4">
        <f t="shared" si="3"/>
        <v>71834.036850000004</v>
      </c>
      <c r="X17" s="4">
        <f t="shared" si="3"/>
        <v>71834.036850000004</v>
      </c>
      <c r="Y17" s="4">
        <f t="shared" si="3"/>
        <v>101834.03685</v>
      </c>
      <c r="Z17" s="4">
        <f t="shared" si="0"/>
        <v>1626098.8107000005</v>
      </c>
    </row>
    <row r="18" spans="1:26" ht="16.5">
      <c r="A18" s="1" t="s">
        <v>129</v>
      </c>
      <c r="B18" s="4">
        <f t="shared" ref="B18:Y18" si="4">SUM(B4:B9)</f>
        <v>39389.357900000003</v>
      </c>
      <c r="C18" s="4">
        <f t="shared" si="4"/>
        <v>39389.357900000003</v>
      </c>
      <c r="D18" s="4">
        <f t="shared" si="4"/>
        <v>39389.357900000003</v>
      </c>
      <c r="E18" s="4">
        <f t="shared" si="4"/>
        <v>46139.357900000003</v>
      </c>
      <c r="F18" s="4">
        <f t="shared" si="4"/>
        <v>46139.357900000003</v>
      </c>
      <c r="G18" s="4">
        <f t="shared" si="4"/>
        <v>46139.357900000003</v>
      </c>
      <c r="H18" s="4">
        <f t="shared" si="4"/>
        <v>65834.036850000004</v>
      </c>
      <c r="I18" s="4">
        <f t="shared" si="4"/>
        <v>65834.036850000004</v>
      </c>
      <c r="J18" s="4">
        <f t="shared" si="4"/>
        <v>65834.036850000004</v>
      </c>
      <c r="K18" s="4">
        <f t="shared" si="4"/>
        <v>65834.036850000004</v>
      </c>
      <c r="L18" s="4">
        <f t="shared" si="4"/>
        <v>65834.036850000004</v>
      </c>
      <c r="M18" s="4">
        <f t="shared" si="4"/>
        <v>65834.036850000004</v>
      </c>
      <c r="N18" s="4">
        <f t="shared" si="4"/>
        <v>71834.036850000004</v>
      </c>
      <c r="O18" s="4">
        <f t="shared" si="4"/>
        <v>71834.036850000004</v>
      </c>
      <c r="P18" s="4">
        <f t="shared" si="4"/>
        <v>71834.036850000004</v>
      </c>
      <c r="Q18" s="4">
        <f t="shared" si="4"/>
        <v>71834.036850000004</v>
      </c>
      <c r="R18" s="4">
        <f t="shared" si="4"/>
        <v>71834.036850000004</v>
      </c>
      <c r="S18" s="4">
        <f t="shared" si="4"/>
        <v>71834.036850000004</v>
      </c>
      <c r="T18" s="4">
        <f t="shared" si="4"/>
        <v>71834.036850000004</v>
      </c>
      <c r="U18" s="4">
        <f t="shared" si="4"/>
        <v>71834.036850000004</v>
      </c>
      <c r="V18" s="4">
        <f t="shared" si="4"/>
        <v>71834.036850000004</v>
      </c>
      <c r="W18" s="4">
        <f t="shared" si="4"/>
        <v>71834.036850000004</v>
      </c>
      <c r="X18" s="4">
        <f t="shared" si="4"/>
        <v>71834.036850000004</v>
      </c>
      <c r="Y18" s="4">
        <f t="shared" si="4"/>
        <v>71834.036850000004</v>
      </c>
      <c r="Z18" s="4">
        <f t="shared" si="0"/>
        <v>1513598.8107000005</v>
      </c>
    </row>
    <row r="26" spans="1:26" ht="18">
      <c r="A26" s="6" t="s">
        <v>3</v>
      </c>
    </row>
    <row r="27" spans="1:26" ht="33">
      <c r="A27" s="1" t="s">
        <v>104</v>
      </c>
      <c r="B27" s="11">
        <f>EDATE(Assumptions!$B$3,0)</f>
        <v>46327</v>
      </c>
      <c r="C27" s="11">
        <f>EDATE(Assumptions!$B$3,1)</f>
        <v>46357</v>
      </c>
      <c r="D27" s="11">
        <f>EDATE(Assumptions!$B$3,2)</f>
        <v>46388</v>
      </c>
      <c r="E27" s="11">
        <f>EDATE(Assumptions!$B$3,3)</f>
        <v>46419</v>
      </c>
      <c r="F27" s="11">
        <f>EDATE(Assumptions!$B$3,4)</f>
        <v>46447</v>
      </c>
      <c r="G27" s="11">
        <f>EDATE(Assumptions!$B$3,5)</f>
        <v>46478</v>
      </c>
      <c r="H27" s="11">
        <f>EDATE(Assumptions!$B$3,6)</f>
        <v>46508</v>
      </c>
      <c r="I27" s="11">
        <f>EDATE(Assumptions!$B$3,7)</f>
        <v>46539</v>
      </c>
      <c r="J27" s="11">
        <f>EDATE(Assumptions!$B$3,8)</f>
        <v>46569</v>
      </c>
      <c r="K27" s="11">
        <f>EDATE(Assumptions!$B$3,9)</f>
        <v>46600</v>
      </c>
      <c r="L27" s="11">
        <f>EDATE(Assumptions!$B$3,10)</f>
        <v>46631</v>
      </c>
      <c r="M27" s="11">
        <f>EDATE(Assumptions!$B$3,11)</f>
        <v>46661</v>
      </c>
      <c r="N27" s="11">
        <f>EDATE(Assumptions!$B$3,12)</f>
        <v>46692</v>
      </c>
      <c r="O27" s="11">
        <f>EDATE(Assumptions!$B$3,13)</f>
        <v>46722</v>
      </c>
      <c r="P27" s="11">
        <f>EDATE(Assumptions!$B$3,14)</f>
        <v>46753</v>
      </c>
      <c r="Q27" s="11">
        <f>EDATE(Assumptions!$B$3,15)</f>
        <v>46784</v>
      </c>
      <c r="R27" s="11">
        <f>EDATE(Assumptions!$B$3,16)</f>
        <v>46813</v>
      </c>
      <c r="S27" s="11">
        <f>EDATE(Assumptions!$B$3,17)</f>
        <v>46844</v>
      </c>
      <c r="T27" s="11">
        <f>EDATE(Assumptions!$B$3,18)</f>
        <v>46874</v>
      </c>
      <c r="U27" s="11">
        <f>EDATE(Assumptions!$B$3,19)</f>
        <v>46905</v>
      </c>
      <c r="V27" s="11">
        <f>EDATE(Assumptions!$B$3,20)</f>
        <v>46935</v>
      </c>
      <c r="W27" s="11">
        <f>EDATE(Assumptions!$B$3,21)</f>
        <v>46966</v>
      </c>
      <c r="X27" s="11">
        <f>EDATE(Assumptions!$B$3,22)</f>
        <v>46997</v>
      </c>
      <c r="Y27" s="11">
        <f>EDATE(Assumptions!$B$3,23)</f>
        <v>47027</v>
      </c>
      <c r="Z27" s="1" t="s">
        <v>105</v>
      </c>
    </row>
    <row r="28" spans="1:26" ht="16.5">
      <c r="A28" s="1" t="s">
        <v>114</v>
      </c>
      <c r="B28" s="4">
        <f>IF(1&lt;=6,Assumptions!$C$17,Assumptions!$C$18)</f>
        <v>3</v>
      </c>
      <c r="C28" s="4">
        <f>IF(2&lt;=6,Assumptions!$C$17,Assumptions!$C$18)</f>
        <v>3</v>
      </c>
      <c r="D28" s="4">
        <f>IF(3&lt;=6,Assumptions!$C$17,Assumptions!$C$18)</f>
        <v>3</v>
      </c>
      <c r="E28" s="4">
        <f>IF(4&lt;=6,Assumptions!$C$17,Assumptions!$C$18)</f>
        <v>3</v>
      </c>
      <c r="F28" s="4">
        <f>IF(5&lt;=6,Assumptions!$C$17,Assumptions!$C$18)</f>
        <v>3</v>
      </c>
      <c r="G28" s="4">
        <f>IF(6&lt;=6,Assumptions!$C$17,Assumptions!$C$18)</f>
        <v>3</v>
      </c>
      <c r="H28" s="4">
        <f>IF(7&lt;=6,Assumptions!$C$17,Assumptions!$C$18)</f>
        <v>4</v>
      </c>
      <c r="I28" s="4">
        <f>IF(8&lt;=6,Assumptions!$C$17,Assumptions!$C$18)</f>
        <v>4</v>
      </c>
      <c r="J28" s="4">
        <f>IF(9&lt;=6,Assumptions!$C$17,Assumptions!$C$18)</f>
        <v>4</v>
      </c>
      <c r="K28" s="4">
        <f>IF(10&lt;=6,Assumptions!$C$17,Assumptions!$C$18)</f>
        <v>4</v>
      </c>
      <c r="L28" s="4">
        <f>IF(11&lt;=6,Assumptions!$C$17,Assumptions!$C$18)</f>
        <v>4</v>
      </c>
      <c r="M28" s="4">
        <f>IF(12&lt;=6,Assumptions!$C$17,Assumptions!$C$18)</f>
        <v>4</v>
      </c>
      <c r="N28" s="4">
        <f>IF(13&lt;=6,Assumptions!$C$17,Assumptions!$C$18)</f>
        <v>4</v>
      </c>
      <c r="O28" s="4">
        <f>IF(14&lt;=6,Assumptions!$C$17,Assumptions!$C$18)</f>
        <v>4</v>
      </c>
      <c r="P28" s="4">
        <f>IF(15&lt;=6,Assumptions!$C$17,Assumptions!$C$18)</f>
        <v>4</v>
      </c>
      <c r="Q28" s="4">
        <f>IF(16&lt;=6,Assumptions!$C$17,Assumptions!$C$18)</f>
        <v>4</v>
      </c>
      <c r="R28" s="4">
        <f>IF(17&lt;=6,Assumptions!$C$17,Assumptions!$C$18)</f>
        <v>4</v>
      </c>
      <c r="S28" s="4">
        <f>IF(18&lt;=6,Assumptions!$C$17,Assumptions!$C$18)</f>
        <v>4</v>
      </c>
      <c r="T28" s="4">
        <f>IF(19&lt;=6,Assumptions!$C$17,Assumptions!$C$18)</f>
        <v>4</v>
      </c>
      <c r="U28" s="4">
        <f>IF(20&lt;=6,Assumptions!$C$17,Assumptions!$C$18)</f>
        <v>4</v>
      </c>
      <c r="V28" s="4">
        <f>IF(21&lt;=6,Assumptions!$C$17,Assumptions!$C$18)</f>
        <v>4</v>
      </c>
      <c r="W28" s="4">
        <f>IF(22&lt;=6,Assumptions!$C$17,Assumptions!$C$18)</f>
        <v>4</v>
      </c>
      <c r="X28" s="4">
        <f>IF(23&lt;=6,Assumptions!$C$17,Assumptions!$C$18)</f>
        <v>4</v>
      </c>
      <c r="Y28" s="4">
        <f>IF(24&lt;=6,Assumptions!$C$17,Assumptions!$C$18)</f>
        <v>4</v>
      </c>
      <c r="Z28" s="4">
        <f t="shared" ref="Z28:Z43" si="5">SUM(B28:Y28)</f>
        <v>90</v>
      </c>
    </row>
    <row r="29" spans="1:26" ht="16.5">
      <c r="A29" s="1" t="s">
        <v>115</v>
      </c>
      <c r="B29" s="4">
        <f>B28*Assumptions!$C$19</f>
        <v>60000</v>
      </c>
      <c r="C29" s="4">
        <f>C28*Assumptions!$C$19</f>
        <v>60000</v>
      </c>
      <c r="D29" s="4">
        <f>D28*Assumptions!$C$19</f>
        <v>60000</v>
      </c>
      <c r="E29" s="4">
        <f>E28*Assumptions!$C$19</f>
        <v>60000</v>
      </c>
      <c r="F29" s="4">
        <f>F28*Assumptions!$C$19</f>
        <v>60000</v>
      </c>
      <c r="G29" s="4">
        <f>G28*Assumptions!$C$19</f>
        <v>60000</v>
      </c>
      <c r="H29" s="4">
        <f>H28*Assumptions!$C$19</f>
        <v>80000</v>
      </c>
      <c r="I29" s="4">
        <f>I28*Assumptions!$C$19</f>
        <v>80000</v>
      </c>
      <c r="J29" s="4">
        <f>J28*Assumptions!$C$19</f>
        <v>80000</v>
      </c>
      <c r="K29" s="4">
        <f>K28*Assumptions!$C$19</f>
        <v>80000</v>
      </c>
      <c r="L29" s="4">
        <f>L28*Assumptions!$C$19</f>
        <v>80000</v>
      </c>
      <c r="M29" s="4">
        <f>M28*Assumptions!$C$19</f>
        <v>80000</v>
      </c>
      <c r="N29" s="4">
        <f>N28*Assumptions!$C$19</f>
        <v>80000</v>
      </c>
      <c r="O29" s="4">
        <f>O28*Assumptions!$C$19</f>
        <v>80000</v>
      </c>
      <c r="P29" s="4">
        <f>P28*Assumptions!$C$19</f>
        <v>80000</v>
      </c>
      <c r="Q29" s="4">
        <f>Q28*Assumptions!$C$19</f>
        <v>80000</v>
      </c>
      <c r="R29" s="4">
        <f>R28*Assumptions!$C$19</f>
        <v>80000</v>
      </c>
      <c r="S29" s="4">
        <f>S28*Assumptions!$C$19</f>
        <v>80000</v>
      </c>
      <c r="T29" s="4">
        <f>T28*Assumptions!$C$19</f>
        <v>80000</v>
      </c>
      <c r="U29" s="4">
        <f>U28*Assumptions!$C$19</f>
        <v>80000</v>
      </c>
      <c r="V29" s="4">
        <f>V28*Assumptions!$C$19</f>
        <v>80000</v>
      </c>
      <c r="W29" s="4">
        <f>W28*Assumptions!$C$19</f>
        <v>80000</v>
      </c>
      <c r="X29" s="4">
        <f>X28*Assumptions!$C$19</f>
        <v>80000</v>
      </c>
      <c r="Y29" s="4">
        <f>Y28*Assumptions!$C$19</f>
        <v>80000</v>
      </c>
      <c r="Z29" s="4">
        <f t="shared" si="5"/>
        <v>1800000</v>
      </c>
    </row>
    <row r="30" spans="1:26" ht="16.5">
      <c r="A30" s="1" t="s">
        <v>116</v>
      </c>
      <c r="B30" s="4">
        <f>B28*Assumptions!$B$32*Assumptions!$C$22</f>
        <v>5778.7157999999999</v>
      </c>
      <c r="C30" s="4">
        <f>C28*Assumptions!$B$32*Assumptions!$C$22</f>
        <v>5778.7157999999999</v>
      </c>
      <c r="D30" s="4">
        <f>D28*Assumptions!$B$32*Assumptions!$C$22</f>
        <v>5778.7157999999999</v>
      </c>
      <c r="E30" s="4">
        <f>E28*Assumptions!$B$32*Assumptions!$C$22</f>
        <v>5778.7157999999999</v>
      </c>
      <c r="F30" s="4">
        <f>F28*Assumptions!$B$32*Assumptions!$C$22</f>
        <v>5778.7157999999999</v>
      </c>
      <c r="G30" s="4">
        <f>G28*Assumptions!$B$32*Assumptions!$C$22</f>
        <v>5778.7157999999999</v>
      </c>
      <c r="H30" s="4">
        <f>H28*Assumptions!$B$32*Assumptions!$C$22</f>
        <v>7704.9544000000005</v>
      </c>
      <c r="I30" s="4">
        <f>I28*Assumptions!$B$32*Assumptions!$C$22</f>
        <v>7704.9544000000005</v>
      </c>
      <c r="J30" s="4">
        <f>J28*Assumptions!$B$32*Assumptions!$C$22</f>
        <v>7704.9544000000005</v>
      </c>
      <c r="K30" s="4">
        <f>K28*Assumptions!$B$32*Assumptions!$C$22</f>
        <v>7704.9544000000005</v>
      </c>
      <c r="L30" s="4">
        <f>L28*Assumptions!$B$32*Assumptions!$C$22</f>
        <v>7704.9544000000005</v>
      </c>
      <c r="M30" s="4">
        <f>M28*Assumptions!$B$32*Assumptions!$C$22</f>
        <v>7704.9544000000005</v>
      </c>
      <c r="N30" s="4">
        <f>N28*Assumptions!$B$32*Assumptions!$C$22</f>
        <v>7704.9544000000005</v>
      </c>
      <c r="O30" s="4">
        <f>O28*Assumptions!$B$32*Assumptions!$C$22</f>
        <v>7704.9544000000005</v>
      </c>
      <c r="P30" s="4">
        <f>P28*Assumptions!$B$32*Assumptions!$C$22</f>
        <v>7704.9544000000005</v>
      </c>
      <c r="Q30" s="4">
        <f>Q28*Assumptions!$B$32*Assumptions!$C$22</f>
        <v>7704.9544000000005</v>
      </c>
      <c r="R30" s="4">
        <f>R28*Assumptions!$B$32*Assumptions!$C$22</f>
        <v>7704.9544000000005</v>
      </c>
      <c r="S30" s="4">
        <f>S28*Assumptions!$B$32*Assumptions!$C$22</f>
        <v>7704.9544000000005</v>
      </c>
      <c r="T30" s="4">
        <f>T28*Assumptions!$B$32*Assumptions!$C$22</f>
        <v>7704.9544000000005</v>
      </c>
      <c r="U30" s="4">
        <f>U28*Assumptions!$B$32*Assumptions!$C$22</f>
        <v>7704.9544000000005</v>
      </c>
      <c r="V30" s="4">
        <f>V28*Assumptions!$B$32*Assumptions!$C$22</f>
        <v>7704.9544000000005</v>
      </c>
      <c r="W30" s="4">
        <f>W28*Assumptions!$B$32*Assumptions!$C$22</f>
        <v>7704.9544000000005</v>
      </c>
      <c r="X30" s="4">
        <f>X28*Assumptions!$B$32*Assumptions!$C$22</f>
        <v>7704.9544000000005</v>
      </c>
      <c r="Y30" s="4">
        <f>Y28*Assumptions!$B$32*Assumptions!$C$22</f>
        <v>7704.9544000000005</v>
      </c>
      <c r="Z30" s="4">
        <f t="shared" si="5"/>
        <v>173361.47399999996</v>
      </c>
    </row>
    <row r="31" spans="1:26" ht="16.5">
      <c r="A31" s="1" t="s">
        <v>117</v>
      </c>
      <c r="B31" s="4">
        <f>IF(1&lt;=6,Assumptions!$B$34,IF(1&lt;=12,Assumptions!$B$35,Assumptions!$B$36))*Assumptions!$C$22</f>
        <v>3000</v>
      </c>
      <c r="C31" s="4">
        <f>IF(2&lt;=6,Assumptions!$B$34,IF(2&lt;=12,Assumptions!$B$35,Assumptions!$B$36))*Assumptions!$C$22</f>
        <v>3000</v>
      </c>
      <c r="D31" s="4">
        <f>IF(3&lt;=6,Assumptions!$B$34,IF(3&lt;=12,Assumptions!$B$35,Assumptions!$B$36))*Assumptions!$C$22</f>
        <v>3000</v>
      </c>
      <c r="E31" s="4">
        <f>IF(4&lt;=6,Assumptions!$B$34,IF(4&lt;=12,Assumptions!$B$35,Assumptions!$B$36))*Assumptions!$C$22</f>
        <v>3000</v>
      </c>
      <c r="F31" s="4">
        <f>IF(5&lt;=6,Assumptions!$B$34,IF(5&lt;=12,Assumptions!$B$35,Assumptions!$B$36))*Assumptions!$C$22</f>
        <v>3000</v>
      </c>
      <c r="G31" s="4">
        <f>IF(6&lt;=6,Assumptions!$B$34,IF(6&lt;=12,Assumptions!$B$35,Assumptions!$B$36))*Assumptions!$C$22</f>
        <v>3000</v>
      </c>
      <c r="H31" s="4">
        <f>IF(7&lt;=6,Assumptions!$B$34,IF(7&lt;=12,Assumptions!$B$35,Assumptions!$B$36))*Assumptions!$C$22</f>
        <v>6000</v>
      </c>
      <c r="I31" s="4">
        <f>IF(8&lt;=6,Assumptions!$B$34,IF(8&lt;=12,Assumptions!$B$35,Assumptions!$B$36))*Assumptions!$C$22</f>
        <v>6000</v>
      </c>
      <c r="J31" s="4">
        <f>IF(9&lt;=6,Assumptions!$B$34,IF(9&lt;=12,Assumptions!$B$35,Assumptions!$B$36))*Assumptions!$C$22</f>
        <v>6000</v>
      </c>
      <c r="K31" s="4">
        <f>IF(10&lt;=6,Assumptions!$B$34,IF(10&lt;=12,Assumptions!$B$35,Assumptions!$B$36))*Assumptions!$C$22</f>
        <v>6000</v>
      </c>
      <c r="L31" s="4">
        <f>IF(11&lt;=6,Assumptions!$B$34,IF(11&lt;=12,Assumptions!$B$35,Assumptions!$B$36))*Assumptions!$C$22</f>
        <v>6000</v>
      </c>
      <c r="M31" s="4">
        <f>IF(12&lt;=6,Assumptions!$B$34,IF(12&lt;=12,Assumptions!$B$35,Assumptions!$B$36))*Assumptions!$C$22</f>
        <v>6000</v>
      </c>
      <c r="N31" s="4">
        <f>IF(13&lt;=6,Assumptions!$B$34,IF(13&lt;=12,Assumptions!$B$35,Assumptions!$B$36))*Assumptions!$C$22</f>
        <v>9000</v>
      </c>
      <c r="O31" s="4">
        <f>IF(14&lt;=6,Assumptions!$B$34,IF(14&lt;=12,Assumptions!$B$35,Assumptions!$B$36))*Assumptions!$C$22</f>
        <v>9000</v>
      </c>
      <c r="P31" s="4">
        <f>IF(15&lt;=6,Assumptions!$B$34,IF(15&lt;=12,Assumptions!$B$35,Assumptions!$B$36))*Assumptions!$C$22</f>
        <v>9000</v>
      </c>
      <c r="Q31" s="4">
        <f>IF(16&lt;=6,Assumptions!$B$34,IF(16&lt;=12,Assumptions!$B$35,Assumptions!$B$36))*Assumptions!$C$22</f>
        <v>9000</v>
      </c>
      <c r="R31" s="4">
        <f>IF(17&lt;=6,Assumptions!$B$34,IF(17&lt;=12,Assumptions!$B$35,Assumptions!$B$36))*Assumptions!$C$22</f>
        <v>9000</v>
      </c>
      <c r="S31" s="4">
        <f>IF(18&lt;=6,Assumptions!$B$34,IF(18&lt;=12,Assumptions!$B$35,Assumptions!$B$36))*Assumptions!$C$22</f>
        <v>9000</v>
      </c>
      <c r="T31" s="4">
        <f>IF(19&lt;=6,Assumptions!$B$34,IF(19&lt;=12,Assumptions!$B$35,Assumptions!$B$36))*Assumptions!$C$22</f>
        <v>9000</v>
      </c>
      <c r="U31" s="4">
        <f>IF(20&lt;=6,Assumptions!$B$34,IF(20&lt;=12,Assumptions!$B$35,Assumptions!$B$36))*Assumptions!$C$22</f>
        <v>9000</v>
      </c>
      <c r="V31" s="4">
        <f>IF(21&lt;=6,Assumptions!$B$34,IF(21&lt;=12,Assumptions!$B$35,Assumptions!$B$36))*Assumptions!$C$22</f>
        <v>9000</v>
      </c>
      <c r="W31" s="4">
        <f>IF(22&lt;=6,Assumptions!$B$34,IF(22&lt;=12,Assumptions!$B$35,Assumptions!$B$36))*Assumptions!$C$22</f>
        <v>9000</v>
      </c>
      <c r="X31" s="4">
        <f>IF(23&lt;=6,Assumptions!$B$34,IF(23&lt;=12,Assumptions!$B$35,Assumptions!$B$36))*Assumptions!$C$22</f>
        <v>9000</v>
      </c>
      <c r="Y31" s="4">
        <f>IF(24&lt;=6,Assumptions!$B$34,IF(24&lt;=12,Assumptions!$B$35,Assumptions!$B$36))*Assumptions!$C$22</f>
        <v>9000</v>
      </c>
      <c r="Z31" s="4">
        <f t="shared" si="5"/>
        <v>162000</v>
      </c>
    </row>
    <row r="32" spans="1:26" ht="16.5">
      <c r="A32" s="1" t="s">
        <v>118</v>
      </c>
      <c r="B32" s="4">
        <f>IF(1&lt;=3,Assumptions!$B$37,IF(1&lt;=12,Assumptions!$B$38,Assumptions!$B$39))*Assumptions!$C$22</f>
        <v>0</v>
      </c>
      <c r="C32" s="4">
        <f>IF(2&lt;=3,Assumptions!$B$37,IF(2&lt;=12,Assumptions!$B$38,Assumptions!$B$39))*Assumptions!$C$22</f>
        <v>0</v>
      </c>
      <c r="D32" s="4">
        <f>IF(3&lt;=3,Assumptions!$B$37,IF(3&lt;=12,Assumptions!$B$38,Assumptions!$B$39))*Assumptions!$C$22</f>
        <v>0</v>
      </c>
      <c r="E32" s="4">
        <f>IF(4&lt;=3,Assumptions!$B$37,IF(4&lt;=12,Assumptions!$B$38,Assumptions!$B$39))*Assumptions!$C$22</f>
        <v>6000</v>
      </c>
      <c r="F32" s="4">
        <f>IF(5&lt;=3,Assumptions!$B$37,IF(5&lt;=12,Assumptions!$B$38,Assumptions!$B$39))*Assumptions!$C$22</f>
        <v>6000</v>
      </c>
      <c r="G32" s="4">
        <f>IF(6&lt;=3,Assumptions!$B$37,IF(6&lt;=12,Assumptions!$B$38,Assumptions!$B$39))*Assumptions!$C$22</f>
        <v>6000</v>
      </c>
      <c r="H32" s="4">
        <f>IF(7&lt;=3,Assumptions!$B$37,IF(7&lt;=12,Assumptions!$B$38,Assumptions!$B$39))*Assumptions!$C$22</f>
        <v>6000</v>
      </c>
      <c r="I32" s="4">
        <f>IF(8&lt;=3,Assumptions!$B$37,IF(8&lt;=12,Assumptions!$B$38,Assumptions!$B$39))*Assumptions!$C$22</f>
        <v>6000</v>
      </c>
      <c r="J32" s="4">
        <f>IF(9&lt;=3,Assumptions!$B$37,IF(9&lt;=12,Assumptions!$B$38,Assumptions!$B$39))*Assumptions!$C$22</f>
        <v>6000</v>
      </c>
      <c r="K32" s="4">
        <f>IF(10&lt;=3,Assumptions!$B$37,IF(10&lt;=12,Assumptions!$B$38,Assumptions!$B$39))*Assumptions!$C$22</f>
        <v>6000</v>
      </c>
      <c r="L32" s="4">
        <f>IF(11&lt;=3,Assumptions!$B$37,IF(11&lt;=12,Assumptions!$B$38,Assumptions!$B$39))*Assumptions!$C$22</f>
        <v>6000</v>
      </c>
      <c r="M32" s="4">
        <f>IF(12&lt;=3,Assumptions!$B$37,IF(12&lt;=12,Assumptions!$B$38,Assumptions!$B$39))*Assumptions!$C$22</f>
        <v>6000</v>
      </c>
      <c r="N32" s="4">
        <f>IF(13&lt;=3,Assumptions!$B$37,IF(13&lt;=12,Assumptions!$B$38,Assumptions!$B$39))*Assumptions!$C$22</f>
        <v>8000</v>
      </c>
      <c r="O32" s="4">
        <f>IF(14&lt;=3,Assumptions!$B$37,IF(14&lt;=12,Assumptions!$B$38,Assumptions!$B$39))*Assumptions!$C$22</f>
        <v>8000</v>
      </c>
      <c r="P32" s="4">
        <f>IF(15&lt;=3,Assumptions!$B$37,IF(15&lt;=12,Assumptions!$B$38,Assumptions!$B$39))*Assumptions!$C$22</f>
        <v>8000</v>
      </c>
      <c r="Q32" s="4">
        <f>IF(16&lt;=3,Assumptions!$B$37,IF(16&lt;=12,Assumptions!$B$38,Assumptions!$B$39))*Assumptions!$C$22</f>
        <v>8000</v>
      </c>
      <c r="R32" s="4">
        <f>IF(17&lt;=3,Assumptions!$B$37,IF(17&lt;=12,Assumptions!$B$38,Assumptions!$B$39))*Assumptions!$C$22</f>
        <v>8000</v>
      </c>
      <c r="S32" s="4">
        <f>IF(18&lt;=3,Assumptions!$B$37,IF(18&lt;=12,Assumptions!$B$38,Assumptions!$B$39))*Assumptions!$C$22</f>
        <v>8000</v>
      </c>
      <c r="T32" s="4">
        <f>IF(19&lt;=3,Assumptions!$B$37,IF(19&lt;=12,Assumptions!$B$38,Assumptions!$B$39))*Assumptions!$C$22</f>
        <v>8000</v>
      </c>
      <c r="U32" s="4">
        <f>IF(20&lt;=3,Assumptions!$B$37,IF(20&lt;=12,Assumptions!$B$38,Assumptions!$B$39))*Assumptions!$C$22</f>
        <v>8000</v>
      </c>
      <c r="V32" s="4">
        <f>IF(21&lt;=3,Assumptions!$B$37,IF(21&lt;=12,Assumptions!$B$38,Assumptions!$B$39))*Assumptions!$C$22</f>
        <v>8000</v>
      </c>
      <c r="W32" s="4">
        <f>IF(22&lt;=3,Assumptions!$B$37,IF(22&lt;=12,Assumptions!$B$38,Assumptions!$B$39))*Assumptions!$C$22</f>
        <v>8000</v>
      </c>
      <c r="X32" s="4">
        <f>IF(23&lt;=3,Assumptions!$B$37,IF(23&lt;=12,Assumptions!$B$38,Assumptions!$B$39))*Assumptions!$C$22</f>
        <v>8000</v>
      </c>
      <c r="Y32" s="4">
        <f>IF(24&lt;=3,Assumptions!$B$37,IF(24&lt;=12,Assumptions!$B$38,Assumptions!$B$39))*Assumptions!$C$22</f>
        <v>8000</v>
      </c>
      <c r="Z32" s="4">
        <f t="shared" si="5"/>
        <v>150000</v>
      </c>
    </row>
    <row r="33" spans="1:26" ht="16.5">
      <c r="A33" s="1" t="s">
        <v>119</v>
      </c>
      <c r="B33" s="4">
        <f>IF(1&lt;=3,Assumptions!$B$40,IF(1&lt;=12,Assumptions!$B$41,Assumptions!$B$42))*Assumptions!$C$22</f>
        <v>0</v>
      </c>
      <c r="C33" s="4">
        <f>IF(2&lt;=3,Assumptions!$B$40,IF(2&lt;=12,Assumptions!$B$41,Assumptions!$B$42))*Assumptions!$C$22</f>
        <v>0</v>
      </c>
      <c r="D33" s="4">
        <f>IF(3&lt;=3,Assumptions!$B$40,IF(3&lt;=12,Assumptions!$B$41,Assumptions!$B$42))*Assumptions!$C$22</f>
        <v>0</v>
      </c>
      <c r="E33" s="4">
        <f>IF(4&lt;=3,Assumptions!$B$40,IF(4&lt;=12,Assumptions!$B$41,Assumptions!$B$42))*Assumptions!$C$22</f>
        <v>3000</v>
      </c>
      <c r="F33" s="4">
        <f>IF(5&lt;=3,Assumptions!$B$40,IF(5&lt;=12,Assumptions!$B$41,Assumptions!$B$42))*Assumptions!$C$22</f>
        <v>3000</v>
      </c>
      <c r="G33" s="4">
        <f>IF(6&lt;=3,Assumptions!$B$40,IF(6&lt;=12,Assumptions!$B$41,Assumptions!$B$42))*Assumptions!$C$22</f>
        <v>3000</v>
      </c>
      <c r="H33" s="4">
        <f>IF(7&lt;=3,Assumptions!$B$40,IF(7&lt;=12,Assumptions!$B$41,Assumptions!$B$42))*Assumptions!$C$22</f>
        <v>3000</v>
      </c>
      <c r="I33" s="4">
        <f>IF(8&lt;=3,Assumptions!$B$40,IF(8&lt;=12,Assumptions!$B$41,Assumptions!$B$42))*Assumptions!$C$22</f>
        <v>3000</v>
      </c>
      <c r="J33" s="4">
        <f>IF(9&lt;=3,Assumptions!$B$40,IF(9&lt;=12,Assumptions!$B$41,Assumptions!$B$42))*Assumptions!$C$22</f>
        <v>3000</v>
      </c>
      <c r="K33" s="4">
        <f>IF(10&lt;=3,Assumptions!$B$40,IF(10&lt;=12,Assumptions!$B$41,Assumptions!$B$42))*Assumptions!$C$22</f>
        <v>3000</v>
      </c>
      <c r="L33" s="4">
        <f>IF(11&lt;=3,Assumptions!$B$40,IF(11&lt;=12,Assumptions!$B$41,Assumptions!$B$42))*Assumptions!$C$22</f>
        <v>3000</v>
      </c>
      <c r="M33" s="4">
        <f>IF(12&lt;=3,Assumptions!$B$40,IF(12&lt;=12,Assumptions!$B$41,Assumptions!$B$42))*Assumptions!$C$22</f>
        <v>3000</v>
      </c>
      <c r="N33" s="4">
        <f>IF(13&lt;=3,Assumptions!$B$40,IF(13&lt;=12,Assumptions!$B$41,Assumptions!$B$42))*Assumptions!$C$22</f>
        <v>6000</v>
      </c>
      <c r="O33" s="4">
        <f>IF(14&lt;=3,Assumptions!$B$40,IF(14&lt;=12,Assumptions!$B$41,Assumptions!$B$42))*Assumptions!$C$22</f>
        <v>6000</v>
      </c>
      <c r="P33" s="4">
        <f>IF(15&lt;=3,Assumptions!$B$40,IF(15&lt;=12,Assumptions!$B$41,Assumptions!$B$42))*Assumptions!$C$22</f>
        <v>6000</v>
      </c>
      <c r="Q33" s="4">
        <f>IF(16&lt;=3,Assumptions!$B$40,IF(16&lt;=12,Assumptions!$B$41,Assumptions!$B$42))*Assumptions!$C$22</f>
        <v>6000</v>
      </c>
      <c r="R33" s="4">
        <f>IF(17&lt;=3,Assumptions!$B$40,IF(17&lt;=12,Assumptions!$B$41,Assumptions!$B$42))*Assumptions!$C$22</f>
        <v>6000</v>
      </c>
      <c r="S33" s="4">
        <f>IF(18&lt;=3,Assumptions!$B$40,IF(18&lt;=12,Assumptions!$B$41,Assumptions!$B$42))*Assumptions!$C$22</f>
        <v>6000</v>
      </c>
      <c r="T33" s="4">
        <f>IF(19&lt;=3,Assumptions!$B$40,IF(19&lt;=12,Assumptions!$B$41,Assumptions!$B$42))*Assumptions!$C$22</f>
        <v>6000</v>
      </c>
      <c r="U33" s="4">
        <f>IF(20&lt;=3,Assumptions!$B$40,IF(20&lt;=12,Assumptions!$B$41,Assumptions!$B$42))*Assumptions!$C$22</f>
        <v>6000</v>
      </c>
      <c r="V33" s="4">
        <f>IF(21&lt;=3,Assumptions!$B$40,IF(21&lt;=12,Assumptions!$B$41,Assumptions!$B$42))*Assumptions!$C$22</f>
        <v>6000</v>
      </c>
      <c r="W33" s="4">
        <f>IF(22&lt;=3,Assumptions!$B$40,IF(22&lt;=12,Assumptions!$B$41,Assumptions!$B$42))*Assumptions!$C$22</f>
        <v>6000</v>
      </c>
      <c r="X33" s="4">
        <f>IF(23&lt;=3,Assumptions!$B$40,IF(23&lt;=12,Assumptions!$B$41,Assumptions!$B$42))*Assumptions!$C$22</f>
        <v>6000</v>
      </c>
      <c r="Y33" s="4">
        <f>IF(24&lt;=3,Assumptions!$B$40,IF(24&lt;=12,Assumptions!$B$41,Assumptions!$B$42))*Assumptions!$C$22</f>
        <v>6000</v>
      </c>
      <c r="Z33" s="4">
        <f t="shared" si="5"/>
        <v>99000</v>
      </c>
    </row>
    <row r="34" spans="1:26" ht="16.5">
      <c r="A34" s="1" t="s">
        <v>120</v>
      </c>
      <c r="B34" s="4">
        <f>Assumptions!$B$43*Assumptions!$C$22</f>
        <v>3000</v>
      </c>
      <c r="C34" s="4">
        <f>Assumptions!$B$43*Assumptions!$C$22</f>
        <v>3000</v>
      </c>
      <c r="D34" s="4">
        <f>Assumptions!$B$43*Assumptions!$C$22</f>
        <v>3000</v>
      </c>
      <c r="E34" s="4">
        <f>Assumptions!$B$43*Assumptions!$C$22</f>
        <v>3000</v>
      </c>
      <c r="F34" s="4">
        <f>Assumptions!$B$43*Assumptions!$C$22</f>
        <v>3000</v>
      </c>
      <c r="G34" s="4">
        <f>Assumptions!$B$43*Assumptions!$C$22</f>
        <v>3000</v>
      </c>
      <c r="H34" s="4">
        <f>Assumptions!$B$43*Assumptions!$C$22</f>
        <v>3000</v>
      </c>
      <c r="I34" s="4">
        <f>Assumptions!$B$43*Assumptions!$C$22</f>
        <v>3000</v>
      </c>
      <c r="J34" s="4">
        <f>Assumptions!$B$43*Assumptions!$C$22</f>
        <v>3000</v>
      </c>
      <c r="K34" s="4">
        <f>Assumptions!$B$43*Assumptions!$C$22</f>
        <v>3000</v>
      </c>
      <c r="L34" s="4">
        <f>Assumptions!$B$43*Assumptions!$C$22</f>
        <v>3000</v>
      </c>
      <c r="M34" s="4">
        <f>Assumptions!$B$43*Assumptions!$C$22</f>
        <v>3000</v>
      </c>
      <c r="N34" s="4">
        <f>Assumptions!$B$43*Assumptions!$C$22</f>
        <v>3000</v>
      </c>
      <c r="O34" s="4">
        <f>Assumptions!$B$43*Assumptions!$C$22</f>
        <v>3000</v>
      </c>
      <c r="P34" s="4">
        <f>Assumptions!$B$43*Assumptions!$C$22</f>
        <v>3000</v>
      </c>
      <c r="Q34" s="4">
        <f>Assumptions!$B$43*Assumptions!$C$22</f>
        <v>3000</v>
      </c>
      <c r="R34" s="4">
        <f>Assumptions!$B$43*Assumptions!$C$22</f>
        <v>3000</v>
      </c>
      <c r="S34" s="4">
        <f>Assumptions!$B$43*Assumptions!$C$22</f>
        <v>3000</v>
      </c>
      <c r="T34" s="4">
        <f>Assumptions!$B$43*Assumptions!$C$22</f>
        <v>3000</v>
      </c>
      <c r="U34" s="4">
        <f>Assumptions!$B$43*Assumptions!$C$22</f>
        <v>3000</v>
      </c>
      <c r="V34" s="4">
        <f>Assumptions!$B$43*Assumptions!$C$22</f>
        <v>3000</v>
      </c>
      <c r="W34" s="4">
        <f>Assumptions!$B$43*Assumptions!$C$22</f>
        <v>3000</v>
      </c>
      <c r="X34" s="4">
        <f>Assumptions!$B$43*Assumptions!$C$22</f>
        <v>3000</v>
      </c>
      <c r="Y34" s="4">
        <f>Assumptions!$B$43*Assumptions!$C$22</f>
        <v>3000</v>
      </c>
      <c r="Z34" s="4">
        <f t="shared" si="5"/>
        <v>72000</v>
      </c>
    </row>
    <row r="35" spans="1:26" ht="16.5">
      <c r="A35" s="1" t="s">
        <v>121</v>
      </c>
      <c r="B35" s="4">
        <f>SUMIF(Assumptions!$F$47:$F$50,1,Assumptions!$G$47:$G$50)*Assumptions!$C$22</f>
        <v>0</v>
      </c>
      <c r="C35" s="4">
        <f>SUMIF(Assumptions!$F$47:$F$50,2,Assumptions!$G$47:$G$50)*Assumptions!$C$22</f>
        <v>0</v>
      </c>
      <c r="D35" s="4">
        <f>SUMIF(Assumptions!$F$47:$F$50,3,Assumptions!$G$47:$G$50)*Assumptions!$C$22</f>
        <v>0</v>
      </c>
      <c r="E35" s="4">
        <f>SUMIF(Assumptions!$F$47:$F$50,4,Assumptions!$G$47:$G$50)*Assumptions!$C$22</f>
        <v>0</v>
      </c>
      <c r="F35" s="4">
        <f>SUMIF(Assumptions!$F$47:$F$50,5,Assumptions!$G$47:$G$50)*Assumptions!$C$22</f>
        <v>0</v>
      </c>
      <c r="G35" s="4">
        <f>SUMIF(Assumptions!$F$47:$F$50,6,Assumptions!$G$47:$G$50)*Assumptions!$C$22</f>
        <v>30000</v>
      </c>
      <c r="H35" s="4">
        <f>SUMIF(Assumptions!$F$47:$F$50,7,Assumptions!$G$47:$G$50)*Assumptions!$C$22</f>
        <v>0</v>
      </c>
      <c r="I35" s="4">
        <f>SUMIF(Assumptions!$F$47:$F$50,8,Assumptions!$G$47:$G$50)*Assumptions!$C$22</f>
        <v>0</v>
      </c>
      <c r="J35" s="4">
        <f>SUMIF(Assumptions!$F$47:$F$50,9,Assumptions!$G$47:$G$50)*Assumptions!$C$22</f>
        <v>0</v>
      </c>
      <c r="K35" s="4">
        <f>SUMIF(Assumptions!$F$47:$F$50,10,Assumptions!$G$47:$G$50)*Assumptions!$C$22</f>
        <v>0</v>
      </c>
      <c r="L35" s="4">
        <f>SUMIF(Assumptions!$F$47:$F$50,11,Assumptions!$G$47:$G$50)*Assumptions!$C$22</f>
        <v>0</v>
      </c>
      <c r="M35" s="4">
        <f>SUMIF(Assumptions!$F$47:$F$50,12,Assumptions!$G$47:$G$50)*Assumptions!$C$22</f>
        <v>40000</v>
      </c>
      <c r="N35" s="4">
        <f>SUMIF(Assumptions!$F$47:$F$50,13,Assumptions!$G$47:$G$50)*Assumptions!$C$22</f>
        <v>0</v>
      </c>
      <c r="O35" s="4">
        <f>SUMIF(Assumptions!$F$47:$F$50,14,Assumptions!$G$47:$G$50)*Assumptions!$C$22</f>
        <v>0</v>
      </c>
      <c r="P35" s="4">
        <f>SUMIF(Assumptions!$F$47:$F$50,15,Assumptions!$G$47:$G$50)*Assumptions!$C$22</f>
        <v>0</v>
      </c>
      <c r="Q35" s="4">
        <f>SUMIF(Assumptions!$F$47:$F$50,16,Assumptions!$G$47:$G$50)*Assumptions!$C$22</f>
        <v>0</v>
      </c>
      <c r="R35" s="4">
        <f>SUMIF(Assumptions!$F$47:$F$50,17,Assumptions!$G$47:$G$50)*Assumptions!$C$22</f>
        <v>0</v>
      </c>
      <c r="S35" s="4">
        <f>SUMIF(Assumptions!$F$47:$F$50,18,Assumptions!$G$47:$G$50)*Assumptions!$C$22</f>
        <v>40000</v>
      </c>
      <c r="T35" s="4">
        <f>SUMIF(Assumptions!$F$47:$F$50,19,Assumptions!$G$47:$G$50)*Assumptions!$C$22</f>
        <v>0</v>
      </c>
      <c r="U35" s="4">
        <f>SUMIF(Assumptions!$F$47:$F$50,20,Assumptions!$G$47:$G$50)*Assumptions!$C$22</f>
        <v>0</v>
      </c>
      <c r="V35" s="4">
        <f>SUMIF(Assumptions!$F$47:$F$50,21,Assumptions!$G$47:$G$50)*Assumptions!$C$22</f>
        <v>0</v>
      </c>
      <c r="W35" s="4">
        <f>SUMIF(Assumptions!$F$47:$F$50,22,Assumptions!$G$47:$G$50)*Assumptions!$C$22</f>
        <v>0</v>
      </c>
      <c r="X35" s="4">
        <f>SUMIF(Assumptions!$F$47:$F$50,23,Assumptions!$G$47:$G$50)*Assumptions!$C$22</f>
        <v>0</v>
      </c>
      <c r="Y35" s="4">
        <f>SUMIF(Assumptions!$F$47:$F$50,24,Assumptions!$G$47:$G$50)*Assumptions!$C$22</f>
        <v>40000</v>
      </c>
      <c r="Z35" s="4">
        <f t="shared" si="5"/>
        <v>150000</v>
      </c>
    </row>
    <row r="36" spans="1:26" ht="16.5">
      <c r="A36" s="1" t="s">
        <v>122</v>
      </c>
      <c r="B36" s="4">
        <f>Cohorts!B24</f>
        <v>0</v>
      </c>
      <c r="C36" s="4">
        <f>Cohorts!C24</f>
        <v>0</v>
      </c>
      <c r="D36" s="4">
        <f>Cohorts!D24</f>
        <v>0</v>
      </c>
      <c r="E36" s="4">
        <f>Cohorts!E24</f>
        <v>0</v>
      </c>
      <c r="F36" s="4">
        <f>Cohorts!F24</f>
        <v>0</v>
      </c>
      <c r="G36" s="4">
        <f>Cohorts!G24</f>
        <v>0</v>
      </c>
      <c r="H36" s="4">
        <f>Cohorts!H24</f>
        <v>0</v>
      </c>
      <c r="I36" s="4">
        <f>Cohorts!I24</f>
        <v>0</v>
      </c>
      <c r="J36" s="4">
        <f>Cohorts!J24</f>
        <v>0</v>
      </c>
      <c r="K36" s="4">
        <f>Cohorts!K24</f>
        <v>0</v>
      </c>
      <c r="L36" s="4">
        <f>Cohorts!L24</f>
        <v>0</v>
      </c>
      <c r="M36" s="4">
        <f>Cohorts!M24</f>
        <v>0</v>
      </c>
      <c r="N36" s="4">
        <f>Cohorts!N24</f>
        <v>0</v>
      </c>
      <c r="O36" s="4">
        <f>Cohorts!O24</f>
        <v>0</v>
      </c>
      <c r="P36" s="4">
        <f>Cohorts!P24</f>
        <v>0</v>
      </c>
      <c r="Q36" s="4">
        <f>Cohorts!Q24</f>
        <v>0</v>
      </c>
      <c r="R36" s="4">
        <f>Cohorts!R24</f>
        <v>0</v>
      </c>
      <c r="S36" s="4">
        <f>Cohorts!S24</f>
        <v>0</v>
      </c>
      <c r="T36" s="4">
        <f>Cohorts!T24</f>
        <v>338583.50696000003</v>
      </c>
      <c r="U36" s="4">
        <f>Cohorts!U24</f>
        <v>338583.50696000003</v>
      </c>
      <c r="V36" s="4">
        <f>Cohorts!V24</f>
        <v>338583.50696000003</v>
      </c>
      <c r="W36" s="4">
        <f>Cohorts!W24</f>
        <v>676760.67903999996</v>
      </c>
      <c r="X36" s="4">
        <f>Cohorts!X24</f>
        <v>676760.67903999996</v>
      </c>
      <c r="Y36" s="4">
        <f>Cohorts!Y24</f>
        <v>676760.67903999996</v>
      </c>
      <c r="Z36" s="4">
        <f t="shared" si="5"/>
        <v>3046032.5579999997</v>
      </c>
    </row>
    <row r="37" spans="1:26" ht="16.5">
      <c r="A37" s="1" t="s">
        <v>123</v>
      </c>
      <c r="B37" s="4">
        <f>IF(1=Assumptions!$B$10,Assumptions!$B$7,0)</f>
        <v>0</v>
      </c>
      <c r="C37" s="4">
        <f>IF(2=Assumptions!$B$10,Assumptions!$B$7,0)</f>
        <v>0</v>
      </c>
      <c r="D37" s="4">
        <f>IF(3=Assumptions!$B$10,Assumptions!$B$7,0)</f>
        <v>0</v>
      </c>
      <c r="E37" s="4">
        <f>IF(4=Assumptions!$B$10,Assumptions!$B$7,0)</f>
        <v>0</v>
      </c>
      <c r="F37" s="4">
        <f>IF(5=Assumptions!$B$10,Assumptions!$B$7,0)</f>
        <v>0</v>
      </c>
      <c r="G37" s="4">
        <f>IF(6=Assumptions!$B$10,Assumptions!$B$7,0)</f>
        <v>0</v>
      </c>
      <c r="H37" s="4">
        <f>IF(7=Assumptions!$B$10,Assumptions!$B$7,0)</f>
        <v>0</v>
      </c>
      <c r="I37" s="4">
        <f>IF(8=Assumptions!$B$10,Assumptions!$B$7,0)</f>
        <v>0</v>
      </c>
      <c r="J37" s="4">
        <f>IF(9=Assumptions!$B$10,Assumptions!$B$7,0)</f>
        <v>0</v>
      </c>
      <c r="K37" s="4">
        <f>IF(10=Assumptions!$B$10,Assumptions!$B$7,0)</f>
        <v>0</v>
      </c>
      <c r="L37" s="4">
        <f>IF(11=Assumptions!$B$10,Assumptions!$B$7,0)</f>
        <v>0</v>
      </c>
      <c r="M37" s="4">
        <f>IF(12=Assumptions!$B$10,Assumptions!$B$7,0)</f>
        <v>0</v>
      </c>
      <c r="N37" s="4">
        <f>IF(13=Assumptions!$B$10,Assumptions!$B$7,0)</f>
        <v>0</v>
      </c>
      <c r="O37" s="4">
        <f>IF(14=Assumptions!$B$10,Assumptions!$B$7,0)</f>
        <v>0</v>
      </c>
      <c r="P37" s="4">
        <f>IF(15=Assumptions!$B$10,Assumptions!$B$7,0)</f>
        <v>0</v>
      </c>
      <c r="Q37" s="4">
        <f>IF(16=Assumptions!$B$10,Assumptions!$B$7,0)</f>
        <v>0</v>
      </c>
      <c r="R37" s="4">
        <f>IF(17=Assumptions!$B$10,Assumptions!$B$7,0)</f>
        <v>0</v>
      </c>
      <c r="S37" s="4">
        <f>IF(18=Assumptions!$B$10,Assumptions!$B$7,0)</f>
        <v>0</v>
      </c>
      <c r="T37" s="4">
        <f>IF(19=Assumptions!$B$10,Assumptions!$B$7,0)</f>
        <v>0</v>
      </c>
      <c r="U37" s="4">
        <f>IF(20=Assumptions!$B$10,Assumptions!$B$7,0)</f>
        <v>0</v>
      </c>
      <c r="V37" s="4">
        <f>IF(21=Assumptions!$B$10,Assumptions!$B$7,0)</f>
        <v>0</v>
      </c>
      <c r="W37" s="4">
        <f>IF(22=Assumptions!$B$10,Assumptions!$B$7,0)</f>
        <v>0</v>
      </c>
      <c r="X37" s="4">
        <f>IF(23=Assumptions!$B$10,Assumptions!$B$7,0)</f>
        <v>0</v>
      </c>
      <c r="Y37" s="4">
        <f>IF(24=Assumptions!$B$10,Assumptions!$B$7,0)</f>
        <v>0</v>
      </c>
      <c r="Z37" s="4">
        <f t="shared" si="5"/>
        <v>0</v>
      </c>
    </row>
    <row r="38" spans="1:26" ht="16.5">
      <c r="A38" s="1" t="s">
        <v>124</v>
      </c>
      <c r="B38" s="4">
        <f t="shared" ref="B38:Y38" si="6">SUM(B29:B37)</f>
        <v>71778.715800000005</v>
      </c>
      <c r="C38" s="4">
        <f t="shared" si="6"/>
        <v>71778.715800000005</v>
      </c>
      <c r="D38" s="4">
        <f t="shared" si="6"/>
        <v>71778.715800000005</v>
      </c>
      <c r="E38" s="4">
        <f t="shared" si="6"/>
        <v>80778.715800000005</v>
      </c>
      <c r="F38" s="4">
        <f t="shared" si="6"/>
        <v>80778.715800000005</v>
      </c>
      <c r="G38" s="4">
        <f t="shared" si="6"/>
        <v>110778.71580000001</v>
      </c>
      <c r="H38" s="4">
        <f t="shared" si="6"/>
        <v>105704.9544</v>
      </c>
      <c r="I38" s="4">
        <f t="shared" si="6"/>
        <v>105704.9544</v>
      </c>
      <c r="J38" s="4">
        <f t="shared" si="6"/>
        <v>105704.9544</v>
      </c>
      <c r="K38" s="4">
        <f t="shared" si="6"/>
        <v>105704.9544</v>
      </c>
      <c r="L38" s="4">
        <f t="shared" si="6"/>
        <v>105704.9544</v>
      </c>
      <c r="M38" s="4">
        <f t="shared" si="6"/>
        <v>145704.95439999999</v>
      </c>
      <c r="N38" s="4">
        <f t="shared" si="6"/>
        <v>113704.9544</v>
      </c>
      <c r="O38" s="4">
        <f t="shared" si="6"/>
        <v>113704.9544</v>
      </c>
      <c r="P38" s="4">
        <f t="shared" si="6"/>
        <v>113704.9544</v>
      </c>
      <c r="Q38" s="4">
        <f t="shared" si="6"/>
        <v>113704.9544</v>
      </c>
      <c r="R38" s="4">
        <f t="shared" si="6"/>
        <v>113704.9544</v>
      </c>
      <c r="S38" s="4">
        <f t="shared" si="6"/>
        <v>153704.95439999999</v>
      </c>
      <c r="T38" s="4">
        <f t="shared" si="6"/>
        <v>452288.46136000002</v>
      </c>
      <c r="U38" s="4">
        <f t="shared" si="6"/>
        <v>452288.46136000002</v>
      </c>
      <c r="V38" s="4">
        <f t="shared" si="6"/>
        <v>452288.46136000002</v>
      </c>
      <c r="W38" s="4">
        <f t="shared" si="6"/>
        <v>790465.63344000001</v>
      </c>
      <c r="X38" s="4">
        <f t="shared" si="6"/>
        <v>790465.63344000001</v>
      </c>
      <c r="Y38" s="4">
        <f t="shared" si="6"/>
        <v>830465.63344000001</v>
      </c>
      <c r="Z38" s="4">
        <f t="shared" si="5"/>
        <v>5652394.0320000006</v>
      </c>
    </row>
    <row r="39" spans="1:26" ht="16.5">
      <c r="A39" s="1" t="s">
        <v>125</v>
      </c>
      <c r="B39" s="4">
        <f>SUMIF(Assumptions!$F$54:$F$55,1,Assumptions!$G$54:$G$55)*Assumptions!$C$22</f>
        <v>50000</v>
      </c>
      <c r="C39" s="4">
        <f>SUMIF(Assumptions!$F$54:$F$55,2,Assumptions!$G$54:$G$55)*Assumptions!$C$22</f>
        <v>0</v>
      </c>
      <c r="D39" s="4">
        <f>SUMIF(Assumptions!$F$54:$F$55,3,Assumptions!$G$54:$G$55)*Assumptions!$C$22</f>
        <v>0</v>
      </c>
      <c r="E39" s="4">
        <f>SUMIF(Assumptions!$F$54:$F$55,4,Assumptions!$G$54:$G$55)*Assumptions!$C$22</f>
        <v>0</v>
      </c>
      <c r="F39" s="4">
        <f>SUMIF(Assumptions!$F$54:$F$55,5,Assumptions!$G$54:$G$55)*Assumptions!$C$22</f>
        <v>0</v>
      </c>
      <c r="G39" s="4">
        <f>SUMIF(Assumptions!$F$54:$F$55,6,Assumptions!$G$54:$G$55)*Assumptions!$C$22</f>
        <v>0</v>
      </c>
      <c r="H39" s="4">
        <f>SUMIF(Assumptions!$F$54:$F$55,7,Assumptions!$G$54:$G$55)*Assumptions!$C$22</f>
        <v>30000</v>
      </c>
      <c r="I39" s="4">
        <f>SUMIF(Assumptions!$F$54:$F$55,8,Assumptions!$G$54:$G$55)*Assumptions!$C$22</f>
        <v>0</v>
      </c>
      <c r="J39" s="4">
        <f>SUMIF(Assumptions!$F$54:$F$55,9,Assumptions!$G$54:$G$55)*Assumptions!$C$22</f>
        <v>0</v>
      </c>
      <c r="K39" s="4">
        <f>SUMIF(Assumptions!$F$54:$F$55,10,Assumptions!$G$54:$G$55)*Assumptions!$C$22</f>
        <v>0</v>
      </c>
      <c r="L39" s="4">
        <f>SUMIF(Assumptions!$F$54:$F$55,11,Assumptions!$G$54:$G$55)*Assumptions!$C$22</f>
        <v>0</v>
      </c>
      <c r="M39" s="4">
        <f>SUMIF(Assumptions!$F$54:$F$55,12,Assumptions!$G$54:$G$55)*Assumptions!$C$22</f>
        <v>0</v>
      </c>
      <c r="N39" s="4">
        <f>SUMIF(Assumptions!$F$54:$F$55,13,Assumptions!$G$54:$G$55)*Assumptions!$C$22</f>
        <v>0</v>
      </c>
      <c r="O39" s="4">
        <f>SUMIF(Assumptions!$F$54:$F$55,14,Assumptions!$G$54:$G$55)*Assumptions!$C$22</f>
        <v>0</v>
      </c>
      <c r="P39" s="4">
        <f>SUMIF(Assumptions!$F$54:$F$55,15,Assumptions!$G$54:$G$55)*Assumptions!$C$22</f>
        <v>0</v>
      </c>
      <c r="Q39" s="4">
        <f>SUMIF(Assumptions!$F$54:$F$55,16,Assumptions!$G$54:$G$55)*Assumptions!$C$22</f>
        <v>0</v>
      </c>
      <c r="R39" s="4">
        <f>SUMIF(Assumptions!$F$54:$F$55,17,Assumptions!$G$54:$G$55)*Assumptions!$C$22</f>
        <v>0</v>
      </c>
      <c r="S39" s="4">
        <f>SUMIF(Assumptions!$F$54:$F$55,18,Assumptions!$G$54:$G$55)*Assumptions!$C$22</f>
        <v>0</v>
      </c>
      <c r="T39" s="4">
        <f>SUMIF(Assumptions!$F$54:$F$55,19,Assumptions!$G$54:$G$55)*Assumptions!$C$22</f>
        <v>0</v>
      </c>
      <c r="U39" s="4">
        <f>SUMIF(Assumptions!$F$54:$F$55,20,Assumptions!$G$54:$G$55)*Assumptions!$C$22</f>
        <v>0</v>
      </c>
      <c r="V39" s="4">
        <f>SUMIF(Assumptions!$F$54:$F$55,21,Assumptions!$G$54:$G$55)*Assumptions!$C$22</f>
        <v>0</v>
      </c>
      <c r="W39" s="4">
        <f>SUMIF(Assumptions!$F$54:$F$55,22,Assumptions!$G$54:$G$55)*Assumptions!$C$22</f>
        <v>0</v>
      </c>
      <c r="X39" s="4">
        <f>SUMIF(Assumptions!$F$54:$F$55,23,Assumptions!$G$54:$G$55)*Assumptions!$C$22</f>
        <v>0</v>
      </c>
      <c r="Y39" s="4">
        <f>SUMIF(Assumptions!$F$54:$F$55,24,Assumptions!$G$54:$G$55)*Assumptions!$C$22</f>
        <v>0</v>
      </c>
      <c r="Z39" s="4">
        <f t="shared" si="5"/>
        <v>80000</v>
      </c>
    </row>
    <row r="40" spans="1:26" ht="16.5">
      <c r="A40" s="1" t="s">
        <v>126</v>
      </c>
      <c r="B40" s="4">
        <f>SUMPRODUCT((1-Assumptions!$F$54:$F$55+1&gt;0)*(1-Assumptions!$F$54:$F$55+1&lt;=Assumptions!$B$11)*Assumptions!$G$54:$G$55)*Assumptions!$C$22/Assumptions!$B$11</f>
        <v>1388.8888888888889</v>
      </c>
      <c r="C40" s="4">
        <f>SUMPRODUCT((2-Assumptions!$F$54:$F$55+1&gt;0)*(2-Assumptions!$F$54:$F$55+1&lt;=Assumptions!$B$11)*Assumptions!$G$54:$G$55)*Assumptions!$C$22/Assumptions!$B$11</f>
        <v>1388.8888888888889</v>
      </c>
      <c r="D40" s="4">
        <f>SUMPRODUCT((3-Assumptions!$F$54:$F$55+1&gt;0)*(3-Assumptions!$F$54:$F$55+1&lt;=Assumptions!$B$11)*Assumptions!$G$54:$G$55)*Assumptions!$C$22/Assumptions!$B$11</f>
        <v>1388.8888888888889</v>
      </c>
      <c r="E40" s="4">
        <f>SUMPRODUCT((4-Assumptions!$F$54:$F$55+1&gt;0)*(4-Assumptions!$F$54:$F$55+1&lt;=Assumptions!$B$11)*Assumptions!$G$54:$G$55)*Assumptions!$C$22/Assumptions!$B$11</f>
        <v>1388.8888888888889</v>
      </c>
      <c r="F40" s="4">
        <f>SUMPRODUCT((5-Assumptions!$F$54:$F$55+1&gt;0)*(5-Assumptions!$F$54:$F$55+1&lt;=Assumptions!$B$11)*Assumptions!$G$54:$G$55)*Assumptions!$C$22/Assumptions!$B$11</f>
        <v>1388.8888888888889</v>
      </c>
      <c r="G40" s="4">
        <f>SUMPRODUCT((6-Assumptions!$F$54:$F$55+1&gt;0)*(6-Assumptions!$F$54:$F$55+1&lt;=Assumptions!$B$11)*Assumptions!$G$54:$G$55)*Assumptions!$C$22/Assumptions!$B$11</f>
        <v>1388.8888888888889</v>
      </c>
      <c r="H40" s="4">
        <f>SUMPRODUCT((7-Assumptions!$F$54:$F$55+1&gt;0)*(7-Assumptions!$F$54:$F$55+1&lt;=Assumptions!$B$11)*Assumptions!$G$54:$G$55)*Assumptions!$C$22/Assumptions!$B$11</f>
        <v>2222.2222222222222</v>
      </c>
      <c r="I40" s="4">
        <f>SUMPRODUCT((8-Assumptions!$F$54:$F$55+1&gt;0)*(8-Assumptions!$F$54:$F$55+1&lt;=Assumptions!$B$11)*Assumptions!$G$54:$G$55)*Assumptions!$C$22/Assumptions!$B$11</f>
        <v>2222.2222222222222</v>
      </c>
      <c r="J40" s="4">
        <f>SUMPRODUCT((9-Assumptions!$F$54:$F$55+1&gt;0)*(9-Assumptions!$F$54:$F$55+1&lt;=Assumptions!$B$11)*Assumptions!$G$54:$G$55)*Assumptions!$C$22/Assumptions!$B$11</f>
        <v>2222.2222222222222</v>
      </c>
      <c r="K40" s="4">
        <f>SUMPRODUCT((10-Assumptions!$F$54:$F$55+1&gt;0)*(10-Assumptions!$F$54:$F$55+1&lt;=Assumptions!$B$11)*Assumptions!$G$54:$G$55)*Assumptions!$C$22/Assumptions!$B$11</f>
        <v>2222.2222222222222</v>
      </c>
      <c r="L40" s="4">
        <f>SUMPRODUCT((11-Assumptions!$F$54:$F$55+1&gt;0)*(11-Assumptions!$F$54:$F$55+1&lt;=Assumptions!$B$11)*Assumptions!$G$54:$G$55)*Assumptions!$C$22/Assumptions!$B$11</f>
        <v>2222.2222222222222</v>
      </c>
      <c r="M40" s="4">
        <f>SUMPRODUCT((12-Assumptions!$F$54:$F$55+1&gt;0)*(12-Assumptions!$F$54:$F$55+1&lt;=Assumptions!$B$11)*Assumptions!$G$54:$G$55)*Assumptions!$C$22/Assumptions!$B$11</f>
        <v>2222.2222222222222</v>
      </c>
      <c r="N40" s="4">
        <f>SUMPRODUCT((13-Assumptions!$F$54:$F$55+1&gt;0)*(13-Assumptions!$F$54:$F$55+1&lt;=Assumptions!$B$11)*Assumptions!$G$54:$G$55)*Assumptions!$C$22/Assumptions!$B$11</f>
        <v>2222.2222222222222</v>
      </c>
      <c r="O40" s="4">
        <f>SUMPRODUCT((14-Assumptions!$F$54:$F$55+1&gt;0)*(14-Assumptions!$F$54:$F$55+1&lt;=Assumptions!$B$11)*Assumptions!$G$54:$G$55)*Assumptions!$C$22/Assumptions!$B$11</f>
        <v>2222.2222222222222</v>
      </c>
      <c r="P40" s="4">
        <f>SUMPRODUCT((15-Assumptions!$F$54:$F$55+1&gt;0)*(15-Assumptions!$F$54:$F$55+1&lt;=Assumptions!$B$11)*Assumptions!$G$54:$G$55)*Assumptions!$C$22/Assumptions!$B$11</f>
        <v>2222.2222222222222</v>
      </c>
      <c r="Q40" s="4">
        <f>SUMPRODUCT((16-Assumptions!$F$54:$F$55+1&gt;0)*(16-Assumptions!$F$54:$F$55+1&lt;=Assumptions!$B$11)*Assumptions!$G$54:$G$55)*Assumptions!$C$22/Assumptions!$B$11</f>
        <v>2222.2222222222222</v>
      </c>
      <c r="R40" s="4">
        <f>SUMPRODUCT((17-Assumptions!$F$54:$F$55+1&gt;0)*(17-Assumptions!$F$54:$F$55+1&lt;=Assumptions!$B$11)*Assumptions!$G$54:$G$55)*Assumptions!$C$22/Assumptions!$B$11</f>
        <v>2222.2222222222222</v>
      </c>
      <c r="S40" s="4">
        <f>SUMPRODUCT((18-Assumptions!$F$54:$F$55+1&gt;0)*(18-Assumptions!$F$54:$F$55+1&lt;=Assumptions!$B$11)*Assumptions!$G$54:$G$55)*Assumptions!$C$22/Assumptions!$B$11</f>
        <v>2222.2222222222222</v>
      </c>
      <c r="T40" s="4">
        <f>SUMPRODUCT((19-Assumptions!$F$54:$F$55+1&gt;0)*(19-Assumptions!$F$54:$F$55+1&lt;=Assumptions!$B$11)*Assumptions!$G$54:$G$55)*Assumptions!$C$22/Assumptions!$B$11</f>
        <v>2222.2222222222222</v>
      </c>
      <c r="U40" s="4">
        <f>SUMPRODUCT((20-Assumptions!$F$54:$F$55+1&gt;0)*(20-Assumptions!$F$54:$F$55+1&lt;=Assumptions!$B$11)*Assumptions!$G$54:$G$55)*Assumptions!$C$22/Assumptions!$B$11</f>
        <v>2222.2222222222222</v>
      </c>
      <c r="V40" s="4">
        <f>SUMPRODUCT((21-Assumptions!$F$54:$F$55+1&gt;0)*(21-Assumptions!$F$54:$F$55+1&lt;=Assumptions!$B$11)*Assumptions!$G$54:$G$55)*Assumptions!$C$22/Assumptions!$B$11</f>
        <v>2222.2222222222222</v>
      </c>
      <c r="W40" s="4">
        <f>SUMPRODUCT((22-Assumptions!$F$54:$F$55+1&gt;0)*(22-Assumptions!$F$54:$F$55+1&lt;=Assumptions!$B$11)*Assumptions!$G$54:$G$55)*Assumptions!$C$22/Assumptions!$B$11</f>
        <v>2222.2222222222222</v>
      </c>
      <c r="X40" s="4">
        <f>SUMPRODUCT((23-Assumptions!$F$54:$F$55+1&gt;0)*(23-Assumptions!$F$54:$F$55+1&lt;=Assumptions!$B$11)*Assumptions!$G$54:$G$55)*Assumptions!$C$22/Assumptions!$B$11</f>
        <v>2222.2222222222222</v>
      </c>
      <c r="Y40" s="4">
        <f>SUMPRODUCT((24-Assumptions!$F$54:$F$55+1&gt;0)*(24-Assumptions!$F$54:$F$55+1&lt;=Assumptions!$B$11)*Assumptions!$G$54:$G$55)*Assumptions!$C$22/Assumptions!$B$11</f>
        <v>2222.2222222222222</v>
      </c>
      <c r="Z40" s="4">
        <f t="shared" si="5"/>
        <v>48333.333333333314</v>
      </c>
    </row>
    <row r="41" spans="1:26" ht="16.5">
      <c r="A41" s="1" t="s">
        <v>127</v>
      </c>
      <c r="B41" s="4">
        <f t="shared" ref="B41:Y41" si="7">B38+B40</f>
        <v>73167.604688888896</v>
      </c>
      <c r="C41" s="4">
        <f t="shared" si="7"/>
        <v>73167.604688888896</v>
      </c>
      <c r="D41" s="4">
        <f t="shared" si="7"/>
        <v>73167.604688888896</v>
      </c>
      <c r="E41" s="4">
        <f t="shared" si="7"/>
        <v>82167.604688888896</v>
      </c>
      <c r="F41" s="4">
        <f t="shared" si="7"/>
        <v>82167.604688888896</v>
      </c>
      <c r="G41" s="4">
        <f t="shared" si="7"/>
        <v>112167.6046888889</v>
      </c>
      <c r="H41" s="4">
        <f t="shared" si="7"/>
        <v>107927.17662222222</v>
      </c>
      <c r="I41" s="4">
        <f t="shared" si="7"/>
        <v>107927.17662222222</v>
      </c>
      <c r="J41" s="4">
        <f t="shared" si="7"/>
        <v>107927.17662222222</v>
      </c>
      <c r="K41" s="4">
        <f t="shared" si="7"/>
        <v>107927.17662222222</v>
      </c>
      <c r="L41" s="4">
        <f t="shared" si="7"/>
        <v>107927.17662222222</v>
      </c>
      <c r="M41" s="4">
        <f t="shared" si="7"/>
        <v>147927.17662222221</v>
      </c>
      <c r="N41" s="4">
        <f t="shared" si="7"/>
        <v>115927.17662222222</v>
      </c>
      <c r="O41" s="4">
        <f t="shared" si="7"/>
        <v>115927.17662222222</v>
      </c>
      <c r="P41" s="4">
        <f t="shared" si="7"/>
        <v>115927.17662222222</v>
      </c>
      <c r="Q41" s="4">
        <f t="shared" si="7"/>
        <v>115927.17662222222</v>
      </c>
      <c r="R41" s="4">
        <f t="shared" si="7"/>
        <v>115927.17662222222</v>
      </c>
      <c r="S41" s="4">
        <f t="shared" si="7"/>
        <v>155927.17662222221</v>
      </c>
      <c r="T41" s="4">
        <f t="shared" si="7"/>
        <v>454510.68358222226</v>
      </c>
      <c r="U41" s="4">
        <f t="shared" si="7"/>
        <v>454510.68358222226</v>
      </c>
      <c r="V41" s="4">
        <f t="shared" si="7"/>
        <v>454510.68358222226</v>
      </c>
      <c r="W41" s="4">
        <f t="shared" si="7"/>
        <v>792687.85566222225</v>
      </c>
      <c r="X41" s="4">
        <f t="shared" si="7"/>
        <v>792687.85566222225</v>
      </c>
      <c r="Y41" s="4">
        <f t="shared" si="7"/>
        <v>832687.85566222225</v>
      </c>
      <c r="Z41" s="4">
        <f t="shared" si="5"/>
        <v>5700727.3653333327</v>
      </c>
    </row>
    <row r="42" spans="1:26" ht="16.5">
      <c r="A42" s="1" t="s">
        <v>128</v>
      </c>
      <c r="B42" s="4">
        <f t="shared" ref="B42:Y42" si="8">SUM(B29:B35)</f>
        <v>71778.715800000005</v>
      </c>
      <c r="C42" s="4">
        <f t="shared" si="8"/>
        <v>71778.715800000005</v>
      </c>
      <c r="D42" s="4">
        <f t="shared" si="8"/>
        <v>71778.715800000005</v>
      </c>
      <c r="E42" s="4">
        <f t="shared" si="8"/>
        <v>80778.715800000005</v>
      </c>
      <c r="F42" s="4">
        <f t="shared" si="8"/>
        <v>80778.715800000005</v>
      </c>
      <c r="G42" s="4">
        <f t="shared" si="8"/>
        <v>110778.71580000001</v>
      </c>
      <c r="H42" s="4">
        <f t="shared" si="8"/>
        <v>105704.9544</v>
      </c>
      <c r="I42" s="4">
        <f t="shared" si="8"/>
        <v>105704.9544</v>
      </c>
      <c r="J42" s="4">
        <f t="shared" si="8"/>
        <v>105704.9544</v>
      </c>
      <c r="K42" s="4">
        <f t="shared" si="8"/>
        <v>105704.9544</v>
      </c>
      <c r="L42" s="4">
        <f t="shared" si="8"/>
        <v>105704.9544</v>
      </c>
      <c r="M42" s="4">
        <f t="shared" si="8"/>
        <v>145704.95439999999</v>
      </c>
      <c r="N42" s="4">
        <f t="shared" si="8"/>
        <v>113704.9544</v>
      </c>
      <c r="O42" s="4">
        <f t="shared" si="8"/>
        <v>113704.9544</v>
      </c>
      <c r="P42" s="4">
        <f t="shared" si="8"/>
        <v>113704.9544</v>
      </c>
      <c r="Q42" s="4">
        <f t="shared" si="8"/>
        <v>113704.9544</v>
      </c>
      <c r="R42" s="4">
        <f t="shared" si="8"/>
        <v>113704.9544</v>
      </c>
      <c r="S42" s="4">
        <f t="shared" si="8"/>
        <v>153704.95439999999</v>
      </c>
      <c r="T42" s="4">
        <f t="shared" si="8"/>
        <v>113704.9544</v>
      </c>
      <c r="U42" s="4">
        <f t="shared" si="8"/>
        <v>113704.9544</v>
      </c>
      <c r="V42" s="4">
        <f t="shared" si="8"/>
        <v>113704.9544</v>
      </c>
      <c r="W42" s="4">
        <f t="shared" si="8"/>
        <v>113704.9544</v>
      </c>
      <c r="X42" s="4">
        <f t="shared" si="8"/>
        <v>113704.9544</v>
      </c>
      <c r="Y42" s="4">
        <f t="shared" si="8"/>
        <v>153704.95439999999</v>
      </c>
      <c r="Z42" s="4">
        <f t="shared" si="5"/>
        <v>2606361.4740000004</v>
      </c>
    </row>
    <row r="43" spans="1:26" ht="16.5">
      <c r="A43" s="1" t="s">
        <v>129</v>
      </c>
      <c r="B43" s="4">
        <f t="shared" ref="B43:Y43" si="9">SUM(B29:B34)</f>
        <v>71778.715800000005</v>
      </c>
      <c r="C43" s="4">
        <f t="shared" si="9"/>
        <v>71778.715800000005</v>
      </c>
      <c r="D43" s="4">
        <f t="shared" si="9"/>
        <v>71778.715800000005</v>
      </c>
      <c r="E43" s="4">
        <f t="shared" si="9"/>
        <v>80778.715800000005</v>
      </c>
      <c r="F43" s="4">
        <f t="shared" si="9"/>
        <v>80778.715800000005</v>
      </c>
      <c r="G43" s="4">
        <f t="shared" si="9"/>
        <v>80778.715800000005</v>
      </c>
      <c r="H43" s="4">
        <f t="shared" si="9"/>
        <v>105704.9544</v>
      </c>
      <c r="I43" s="4">
        <f t="shared" si="9"/>
        <v>105704.9544</v>
      </c>
      <c r="J43" s="4">
        <f t="shared" si="9"/>
        <v>105704.9544</v>
      </c>
      <c r="K43" s="4">
        <f t="shared" si="9"/>
        <v>105704.9544</v>
      </c>
      <c r="L43" s="4">
        <f t="shared" si="9"/>
        <v>105704.9544</v>
      </c>
      <c r="M43" s="4">
        <f t="shared" si="9"/>
        <v>105704.9544</v>
      </c>
      <c r="N43" s="4">
        <f t="shared" si="9"/>
        <v>113704.9544</v>
      </c>
      <c r="O43" s="4">
        <f t="shared" si="9"/>
        <v>113704.9544</v>
      </c>
      <c r="P43" s="4">
        <f t="shared" si="9"/>
        <v>113704.9544</v>
      </c>
      <c r="Q43" s="4">
        <f t="shared" si="9"/>
        <v>113704.9544</v>
      </c>
      <c r="R43" s="4">
        <f t="shared" si="9"/>
        <v>113704.9544</v>
      </c>
      <c r="S43" s="4">
        <f t="shared" si="9"/>
        <v>113704.9544</v>
      </c>
      <c r="T43" s="4">
        <f t="shared" si="9"/>
        <v>113704.9544</v>
      </c>
      <c r="U43" s="4">
        <f t="shared" si="9"/>
        <v>113704.9544</v>
      </c>
      <c r="V43" s="4">
        <f t="shared" si="9"/>
        <v>113704.9544</v>
      </c>
      <c r="W43" s="4">
        <f t="shared" si="9"/>
        <v>113704.9544</v>
      </c>
      <c r="X43" s="4">
        <f t="shared" si="9"/>
        <v>113704.9544</v>
      </c>
      <c r="Y43" s="4">
        <f t="shared" si="9"/>
        <v>113704.9544</v>
      </c>
      <c r="Z43" s="4">
        <f t="shared" si="5"/>
        <v>2456361.4740000004</v>
      </c>
    </row>
    <row r="51" spans="1:26" ht="18">
      <c r="A51" s="6" t="s">
        <v>4</v>
      </c>
    </row>
    <row r="52" spans="1:26" ht="33">
      <c r="A52" s="1" t="s">
        <v>104</v>
      </c>
      <c r="B52" s="11">
        <f>EDATE(Assumptions!$B$3,0)</f>
        <v>46327</v>
      </c>
      <c r="C52" s="11">
        <f>EDATE(Assumptions!$B$3,1)</f>
        <v>46357</v>
      </c>
      <c r="D52" s="11">
        <f>EDATE(Assumptions!$B$3,2)</f>
        <v>46388</v>
      </c>
      <c r="E52" s="11">
        <f>EDATE(Assumptions!$B$3,3)</f>
        <v>46419</v>
      </c>
      <c r="F52" s="11">
        <f>EDATE(Assumptions!$B$3,4)</f>
        <v>46447</v>
      </c>
      <c r="G52" s="11">
        <f>EDATE(Assumptions!$B$3,5)</f>
        <v>46478</v>
      </c>
      <c r="H52" s="11">
        <f>EDATE(Assumptions!$B$3,6)</f>
        <v>46508</v>
      </c>
      <c r="I52" s="11">
        <f>EDATE(Assumptions!$B$3,7)</f>
        <v>46539</v>
      </c>
      <c r="J52" s="11">
        <f>EDATE(Assumptions!$B$3,8)</f>
        <v>46569</v>
      </c>
      <c r="K52" s="11">
        <f>EDATE(Assumptions!$B$3,9)</f>
        <v>46600</v>
      </c>
      <c r="L52" s="11">
        <f>EDATE(Assumptions!$B$3,10)</f>
        <v>46631</v>
      </c>
      <c r="M52" s="11">
        <f>EDATE(Assumptions!$B$3,11)</f>
        <v>46661</v>
      </c>
      <c r="N52" s="11">
        <f>EDATE(Assumptions!$B$3,12)</f>
        <v>46692</v>
      </c>
      <c r="O52" s="11">
        <f>EDATE(Assumptions!$B$3,13)</f>
        <v>46722</v>
      </c>
      <c r="P52" s="11">
        <f>EDATE(Assumptions!$B$3,14)</f>
        <v>46753</v>
      </c>
      <c r="Q52" s="11">
        <f>EDATE(Assumptions!$B$3,15)</f>
        <v>46784</v>
      </c>
      <c r="R52" s="11">
        <f>EDATE(Assumptions!$B$3,16)</f>
        <v>46813</v>
      </c>
      <c r="S52" s="11">
        <f>EDATE(Assumptions!$B$3,17)</f>
        <v>46844</v>
      </c>
      <c r="T52" s="11">
        <f>EDATE(Assumptions!$B$3,18)</f>
        <v>46874</v>
      </c>
      <c r="U52" s="11">
        <f>EDATE(Assumptions!$B$3,19)</f>
        <v>46905</v>
      </c>
      <c r="V52" s="11">
        <f>EDATE(Assumptions!$B$3,20)</f>
        <v>46935</v>
      </c>
      <c r="W52" s="11">
        <f>EDATE(Assumptions!$B$3,21)</f>
        <v>46966</v>
      </c>
      <c r="X52" s="11">
        <f>EDATE(Assumptions!$B$3,22)</f>
        <v>46997</v>
      </c>
      <c r="Y52" s="11">
        <f>EDATE(Assumptions!$B$3,23)</f>
        <v>47027</v>
      </c>
      <c r="Z52" s="1" t="s">
        <v>105</v>
      </c>
    </row>
    <row r="53" spans="1:26" ht="16.5">
      <c r="A53" s="1" t="s">
        <v>114</v>
      </c>
      <c r="B53" s="4">
        <f>IF(1&lt;=6,Assumptions!$D$17,Assumptions!$D$18)</f>
        <v>4</v>
      </c>
      <c r="C53" s="4">
        <f>IF(2&lt;=6,Assumptions!$D$17,Assumptions!$D$18)</f>
        <v>4</v>
      </c>
      <c r="D53" s="4">
        <f>IF(3&lt;=6,Assumptions!$D$17,Assumptions!$D$18)</f>
        <v>4</v>
      </c>
      <c r="E53" s="4">
        <f>IF(4&lt;=6,Assumptions!$D$17,Assumptions!$D$18)</f>
        <v>4</v>
      </c>
      <c r="F53" s="4">
        <f>IF(5&lt;=6,Assumptions!$D$17,Assumptions!$D$18)</f>
        <v>4</v>
      </c>
      <c r="G53" s="4">
        <f>IF(6&lt;=6,Assumptions!$D$17,Assumptions!$D$18)</f>
        <v>4</v>
      </c>
      <c r="H53" s="4">
        <f>IF(7&lt;=6,Assumptions!$D$17,Assumptions!$D$18)</f>
        <v>5</v>
      </c>
      <c r="I53" s="4">
        <f>IF(8&lt;=6,Assumptions!$D$17,Assumptions!$D$18)</f>
        <v>5</v>
      </c>
      <c r="J53" s="4">
        <f>IF(9&lt;=6,Assumptions!$D$17,Assumptions!$D$18)</f>
        <v>5</v>
      </c>
      <c r="K53" s="4">
        <f>IF(10&lt;=6,Assumptions!$D$17,Assumptions!$D$18)</f>
        <v>5</v>
      </c>
      <c r="L53" s="4">
        <f>IF(11&lt;=6,Assumptions!$D$17,Assumptions!$D$18)</f>
        <v>5</v>
      </c>
      <c r="M53" s="4">
        <f>IF(12&lt;=6,Assumptions!$D$17,Assumptions!$D$18)</f>
        <v>5</v>
      </c>
      <c r="N53" s="4">
        <f>IF(13&lt;=6,Assumptions!$D$17,Assumptions!$D$18)</f>
        <v>5</v>
      </c>
      <c r="O53" s="4">
        <f>IF(14&lt;=6,Assumptions!$D$17,Assumptions!$D$18)</f>
        <v>5</v>
      </c>
      <c r="P53" s="4">
        <f>IF(15&lt;=6,Assumptions!$D$17,Assumptions!$D$18)</f>
        <v>5</v>
      </c>
      <c r="Q53" s="4">
        <f>IF(16&lt;=6,Assumptions!$D$17,Assumptions!$D$18)</f>
        <v>5</v>
      </c>
      <c r="R53" s="4">
        <f>IF(17&lt;=6,Assumptions!$D$17,Assumptions!$D$18)</f>
        <v>5</v>
      </c>
      <c r="S53" s="4">
        <f>IF(18&lt;=6,Assumptions!$D$17,Assumptions!$D$18)</f>
        <v>5</v>
      </c>
      <c r="T53" s="4">
        <f>IF(19&lt;=6,Assumptions!$D$17,Assumptions!$D$18)</f>
        <v>5</v>
      </c>
      <c r="U53" s="4">
        <f>IF(20&lt;=6,Assumptions!$D$17,Assumptions!$D$18)</f>
        <v>5</v>
      </c>
      <c r="V53" s="4">
        <f>IF(21&lt;=6,Assumptions!$D$17,Assumptions!$D$18)</f>
        <v>5</v>
      </c>
      <c r="W53" s="4">
        <f>IF(22&lt;=6,Assumptions!$D$17,Assumptions!$D$18)</f>
        <v>5</v>
      </c>
      <c r="X53" s="4">
        <f>IF(23&lt;=6,Assumptions!$D$17,Assumptions!$D$18)</f>
        <v>5</v>
      </c>
      <c r="Y53" s="4">
        <f>IF(24&lt;=6,Assumptions!$D$17,Assumptions!$D$18)</f>
        <v>5</v>
      </c>
      <c r="Z53" s="4">
        <f t="shared" ref="Z53:Z68" si="10">SUM(B53:Y53)</f>
        <v>114</v>
      </c>
    </row>
    <row r="54" spans="1:26" ht="16.5">
      <c r="A54" s="1" t="s">
        <v>115</v>
      </c>
      <c r="B54" s="4">
        <f>B53*Assumptions!$D$19</f>
        <v>96000</v>
      </c>
      <c r="C54" s="4">
        <f>C53*Assumptions!$D$19</f>
        <v>96000</v>
      </c>
      <c r="D54" s="4">
        <f>D53*Assumptions!$D$19</f>
        <v>96000</v>
      </c>
      <c r="E54" s="4">
        <f>E53*Assumptions!$D$19</f>
        <v>96000</v>
      </c>
      <c r="F54" s="4">
        <f>F53*Assumptions!$D$19</f>
        <v>96000</v>
      </c>
      <c r="G54" s="4">
        <f>G53*Assumptions!$D$19</f>
        <v>96000</v>
      </c>
      <c r="H54" s="4">
        <f>H53*Assumptions!$D$19</f>
        <v>120000</v>
      </c>
      <c r="I54" s="4">
        <f>I53*Assumptions!$D$19</f>
        <v>120000</v>
      </c>
      <c r="J54" s="4">
        <f>J53*Assumptions!$D$19</f>
        <v>120000</v>
      </c>
      <c r="K54" s="4">
        <f>K53*Assumptions!$D$19</f>
        <v>120000</v>
      </c>
      <c r="L54" s="4">
        <f>L53*Assumptions!$D$19</f>
        <v>120000</v>
      </c>
      <c r="M54" s="4">
        <f>M53*Assumptions!$D$19</f>
        <v>120000</v>
      </c>
      <c r="N54" s="4">
        <f>N53*Assumptions!$D$19</f>
        <v>120000</v>
      </c>
      <c r="O54" s="4">
        <f>O53*Assumptions!$D$19</f>
        <v>120000</v>
      </c>
      <c r="P54" s="4">
        <f>P53*Assumptions!$D$19</f>
        <v>120000</v>
      </c>
      <c r="Q54" s="4">
        <f>Q53*Assumptions!$D$19</f>
        <v>120000</v>
      </c>
      <c r="R54" s="4">
        <f>R53*Assumptions!$D$19</f>
        <v>120000</v>
      </c>
      <c r="S54" s="4">
        <f>S53*Assumptions!$D$19</f>
        <v>120000</v>
      </c>
      <c r="T54" s="4">
        <f>T53*Assumptions!$D$19</f>
        <v>120000</v>
      </c>
      <c r="U54" s="4">
        <f>U53*Assumptions!$D$19</f>
        <v>120000</v>
      </c>
      <c r="V54" s="4">
        <f>V53*Assumptions!$D$19</f>
        <v>120000</v>
      </c>
      <c r="W54" s="4">
        <f>W53*Assumptions!$D$19</f>
        <v>120000</v>
      </c>
      <c r="X54" s="4">
        <f>X53*Assumptions!$D$19</f>
        <v>120000</v>
      </c>
      <c r="Y54" s="4">
        <f>Y53*Assumptions!$D$19</f>
        <v>120000</v>
      </c>
      <c r="Z54" s="4">
        <f t="shared" si="10"/>
        <v>2736000</v>
      </c>
    </row>
    <row r="55" spans="1:26" ht="16.5">
      <c r="A55" s="1" t="s">
        <v>116</v>
      </c>
      <c r="B55" s="4">
        <f>B53*Assumptions!$B$32*Assumptions!$D$22</f>
        <v>11557.4316</v>
      </c>
      <c r="C55" s="4">
        <f>C53*Assumptions!$B$32*Assumptions!$D$22</f>
        <v>11557.4316</v>
      </c>
      <c r="D55" s="4">
        <f>D53*Assumptions!$B$32*Assumptions!$D$22</f>
        <v>11557.4316</v>
      </c>
      <c r="E55" s="4">
        <f>E53*Assumptions!$B$32*Assumptions!$D$22</f>
        <v>11557.4316</v>
      </c>
      <c r="F55" s="4">
        <f>F53*Assumptions!$B$32*Assumptions!$D$22</f>
        <v>11557.4316</v>
      </c>
      <c r="G55" s="4">
        <f>G53*Assumptions!$B$32*Assumptions!$D$22</f>
        <v>11557.4316</v>
      </c>
      <c r="H55" s="4">
        <f>H53*Assumptions!$B$32*Assumptions!$D$22</f>
        <v>14446.789500000003</v>
      </c>
      <c r="I55" s="4">
        <f>I53*Assumptions!$B$32*Assumptions!$D$22</f>
        <v>14446.789500000003</v>
      </c>
      <c r="J55" s="4">
        <f>J53*Assumptions!$B$32*Assumptions!$D$22</f>
        <v>14446.789500000003</v>
      </c>
      <c r="K55" s="4">
        <f>K53*Assumptions!$B$32*Assumptions!$D$22</f>
        <v>14446.789500000003</v>
      </c>
      <c r="L55" s="4">
        <f>L53*Assumptions!$B$32*Assumptions!$D$22</f>
        <v>14446.789500000003</v>
      </c>
      <c r="M55" s="4">
        <f>M53*Assumptions!$B$32*Assumptions!$D$22</f>
        <v>14446.789500000003</v>
      </c>
      <c r="N55" s="4">
        <f>N53*Assumptions!$B$32*Assumptions!$D$22</f>
        <v>14446.789500000003</v>
      </c>
      <c r="O55" s="4">
        <f>O53*Assumptions!$B$32*Assumptions!$D$22</f>
        <v>14446.789500000003</v>
      </c>
      <c r="P55" s="4">
        <f>P53*Assumptions!$B$32*Assumptions!$D$22</f>
        <v>14446.789500000003</v>
      </c>
      <c r="Q55" s="4">
        <f>Q53*Assumptions!$B$32*Assumptions!$D$22</f>
        <v>14446.789500000003</v>
      </c>
      <c r="R55" s="4">
        <f>R53*Assumptions!$B$32*Assumptions!$D$22</f>
        <v>14446.789500000003</v>
      </c>
      <c r="S55" s="4">
        <f>S53*Assumptions!$B$32*Assumptions!$D$22</f>
        <v>14446.789500000003</v>
      </c>
      <c r="T55" s="4">
        <f>T53*Assumptions!$B$32*Assumptions!$D$22</f>
        <v>14446.789500000003</v>
      </c>
      <c r="U55" s="4">
        <f>U53*Assumptions!$B$32*Assumptions!$D$22</f>
        <v>14446.789500000003</v>
      </c>
      <c r="V55" s="4">
        <f>V53*Assumptions!$B$32*Assumptions!$D$22</f>
        <v>14446.789500000003</v>
      </c>
      <c r="W55" s="4">
        <f>W53*Assumptions!$B$32*Assumptions!$D$22</f>
        <v>14446.789500000003</v>
      </c>
      <c r="X55" s="4">
        <f>X53*Assumptions!$B$32*Assumptions!$D$22</f>
        <v>14446.789500000003</v>
      </c>
      <c r="Y55" s="4">
        <f>Y53*Assumptions!$B$32*Assumptions!$D$22</f>
        <v>14446.789500000003</v>
      </c>
      <c r="Z55" s="4">
        <f t="shared" si="10"/>
        <v>329386.80060000013</v>
      </c>
    </row>
    <row r="56" spans="1:26" ht="16.5">
      <c r="A56" s="1" t="s">
        <v>117</v>
      </c>
      <c r="B56" s="4">
        <f>IF(1&lt;=6,Assumptions!$B$34,IF(1&lt;=12,Assumptions!$B$35,Assumptions!$B$36))*Assumptions!$D$22</f>
        <v>4500</v>
      </c>
      <c r="C56" s="4">
        <f>IF(2&lt;=6,Assumptions!$B$34,IF(2&lt;=12,Assumptions!$B$35,Assumptions!$B$36))*Assumptions!$D$22</f>
        <v>4500</v>
      </c>
      <c r="D56" s="4">
        <f>IF(3&lt;=6,Assumptions!$B$34,IF(3&lt;=12,Assumptions!$B$35,Assumptions!$B$36))*Assumptions!$D$22</f>
        <v>4500</v>
      </c>
      <c r="E56" s="4">
        <f>IF(4&lt;=6,Assumptions!$B$34,IF(4&lt;=12,Assumptions!$B$35,Assumptions!$B$36))*Assumptions!$D$22</f>
        <v>4500</v>
      </c>
      <c r="F56" s="4">
        <f>IF(5&lt;=6,Assumptions!$B$34,IF(5&lt;=12,Assumptions!$B$35,Assumptions!$B$36))*Assumptions!$D$22</f>
        <v>4500</v>
      </c>
      <c r="G56" s="4">
        <f>IF(6&lt;=6,Assumptions!$B$34,IF(6&lt;=12,Assumptions!$B$35,Assumptions!$B$36))*Assumptions!$D$22</f>
        <v>4500</v>
      </c>
      <c r="H56" s="4">
        <f>IF(7&lt;=6,Assumptions!$B$34,IF(7&lt;=12,Assumptions!$B$35,Assumptions!$B$36))*Assumptions!$D$22</f>
        <v>9000</v>
      </c>
      <c r="I56" s="4">
        <f>IF(8&lt;=6,Assumptions!$B$34,IF(8&lt;=12,Assumptions!$B$35,Assumptions!$B$36))*Assumptions!$D$22</f>
        <v>9000</v>
      </c>
      <c r="J56" s="4">
        <f>IF(9&lt;=6,Assumptions!$B$34,IF(9&lt;=12,Assumptions!$B$35,Assumptions!$B$36))*Assumptions!$D$22</f>
        <v>9000</v>
      </c>
      <c r="K56" s="4">
        <f>IF(10&lt;=6,Assumptions!$B$34,IF(10&lt;=12,Assumptions!$B$35,Assumptions!$B$36))*Assumptions!$D$22</f>
        <v>9000</v>
      </c>
      <c r="L56" s="4">
        <f>IF(11&lt;=6,Assumptions!$B$34,IF(11&lt;=12,Assumptions!$B$35,Assumptions!$B$36))*Assumptions!$D$22</f>
        <v>9000</v>
      </c>
      <c r="M56" s="4">
        <f>IF(12&lt;=6,Assumptions!$B$34,IF(12&lt;=12,Assumptions!$B$35,Assumptions!$B$36))*Assumptions!$D$22</f>
        <v>9000</v>
      </c>
      <c r="N56" s="4">
        <f>IF(13&lt;=6,Assumptions!$B$34,IF(13&lt;=12,Assumptions!$B$35,Assumptions!$B$36))*Assumptions!$D$22</f>
        <v>13500</v>
      </c>
      <c r="O56" s="4">
        <f>IF(14&lt;=6,Assumptions!$B$34,IF(14&lt;=12,Assumptions!$B$35,Assumptions!$B$36))*Assumptions!$D$22</f>
        <v>13500</v>
      </c>
      <c r="P56" s="4">
        <f>IF(15&lt;=6,Assumptions!$B$34,IF(15&lt;=12,Assumptions!$B$35,Assumptions!$B$36))*Assumptions!$D$22</f>
        <v>13500</v>
      </c>
      <c r="Q56" s="4">
        <f>IF(16&lt;=6,Assumptions!$B$34,IF(16&lt;=12,Assumptions!$B$35,Assumptions!$B$36))*Assumptions!$D$22</f>
        <v>13500</v>
      </c>
      <c r="R56" s="4">
        <f>IF(17&lt;=6,Assumptions!$B$34,IF(17&lt;=12,Assumptions!$B$35,Assumptions!$B$36))*Assumptions!$D$22</f>
        <v>13500</v>
      </c>
      <c r="S56" s="4">
        <f>IF(18&lt;=6,Assumptions!$B$34,IF(18&lt;=12,Assumptions!$B$35,Assumptions!$B$36))*Assumptions!$D$22</f>
        <v>13500</v>
      </c>
      <c r="T56" s="4">
        <f>IF(19&lt;=6,Assumptions!$B$34,IF(19&lt;=12,Assumptions!$B$35,Assumptions!$B$36))*Assumptions!$D$22</f>
        <v>13500</v>
      </c>
      <c r="U56" s="4">
        <f>IF(20&lt;=6,Assumptions!$B$34,IF(20&lt;=12,Assumptions!$B$35,Assumptions!$B$36))*Assumptions!$D$22</f>
        <v>13500</v>
      </c>
      <c r="V56" s="4">
        <f>IF(21&lt;=6,Assumptions!$B$34,IF(21&lt;=12,Assumptions!$B$35,Assumptions!$B$36))*Assumptions!$D$22</f>
        <v>13500</v>
      </c>
      <c r="W56" s="4">
        <f>IF(22&lt;=6,Assumptions!$B$34,IF(22&lt;=12,Assumptions!$B$35,Assumptions!$B$36))*Assumptions!$D$22</f>
        <v>13500</v>
      </c>
      <c r="X56" s="4">
        <f>IF(23&lt;=6,Assumptions!$B$34,IF(23&lt;=12,Assumptions!$B$35,Assumptions!$B$36))*Assumptions!$D$22</f>
        <v>13500</v>
      </c>
      <c r="Y56" s="4">
        <f>IF(24&lt;=6,Assumptions!$B$34,IF(24&lt;=12,Assumptions!$B$35,Assumptions!$B$36))*Assumptions!$D$22</f>
        <v>13500</v>
      </c>
      <c r="Z56" s="4">
        <f t="shared" si="10"/>
        <v>243000</v>
      </c>
    </row>
    <row r="57" spans="1:26" ht="16.5">
      <c r="A57" s="1" t="s">
        <v>118</v>
      </c>
      <c r="B57" s="4">
        <f>IF(1&lt;=3,Assumptions!$B$37,IF(1&lt;=12,Assumptions!$B$38,Assumptions!$B$39))*Assumptions!$D$22</f>
        <v>0</v>
      </c>
      <c r="C57" s="4">
        <f>IF(2&lt;=3,Assumptions!$B$37,IF(2&lt;=12,Assumptions!$B$38,Assumptions!$B$39))*Assumptions!$D$22</f>
        <v>0</v>
      </c>
      <c r="D57" s="4">
        <f>IF(3&lt;=3,Assumptions!$B$37,IF(3&lt;=12,Assumptions!$B$38,Assumptions!$B$39))*Assumptions!$D$22</f>
        <v>0</v>
      </c>
      <c r="E57" s="4">
        <f>IF(4&lt;=3,Assumptions!$B$37,IF(4&lt;=12,Assumptions!$B$38,Assumptions!$B$39))*Assumptions!$D$22</f>
        <v>9000</v>
      </c>
      <c r="F57" s="4">
        <f>IF(5&lt;=3,Assumptions!$B$37,IF(5&lt;=12,Assumptions!$B$38,Assumptions!$B$39))*Assumptions!$D$22</f>
        <v>9000</v>
      </c>
      <c r="G57" s="4">
        <f>IF(6&lt;=3,Assumptions!$B$37,IF(6&lt;=12,Assumptions!$B$38,Assumptions!$B$39))*Assumptions!$D$22</f>
        <v>9000</v>
      </c>
      <c r="H57" s="4">
        <f>IF(7&lt;=3,Assumptions!$B$37,IF(7&lt;=12,Assumptions!$B$38,Assumptions!$B$39))*Assumptions!$D$22</f>
        <v>9000</v>
      </c>
      <c r="I57" s="4">
        <f>IF(8&lt;=3,Assumptions!$B$37,IF(8&lt;=12,Assumptions!$B$38,Assumptions!$B$39))*Assumptions!$D$22</f>
        <v>9000</v>
      </c>
      <c r="J57" s="4">
        <f>IF(9&lt;=3,Assumptions!$B$37,IF(9&lt;=12,Assumptions!$B$38,Assumptions!$B$39))*Assumptions!$D$22</f>
        <v>9000</v>
      </c>
      <c r="K57" s="4">
        <f>IF(10&lt;=3,Assumptions!$B$37,IF(10&lt;=12,Assumptions!$B$38,Assumptions!$B$39))*Assumptions!$D$22</f>
        <v>9000</v>
      </c>
      <c r="L57" s="4">
        <f>IF(11&lt;=3,Assumptions!$B$37,IF(11&lt;=12,Assumptions!$B$38,Assumptions!$B$39))*Assumptions!$D$22</f>
        <v>9000</v>
      </c>
      <c r="M57" s="4">
        <f>IF(12&lt;=3,Assumptions!$B$37,IF(12&lt;=12,Assumptions!$B$38,Assumptions!$B$39))*Assumptions!$D$22</f>
        <v>9000</v>
      </c>
      <c r="N57" s="4">
        <f>IF(13&lt;=3,Assumptions!$B$37,IF(13&lt;=12,Assumptions!$B$38,Assumptions!$B$39))*Assumptions!$D$22</f>
        <v>12000</v>
      </c>
      <c r="O57" s="4">
        <f>IF(14&lt;=3,Assumptions!$B$37,IF(14&lt;=12,Assumptions!$B$38,Assumptions!$B$39))*Assumptions!$D$22</f>
        <v>12000</v>
      </c>
      <c r="P57" s="4">
        <f>IF(15&lt;=3,Assumptions!$B$37,IF(15&lt;=12,Assumptions!$B$38,Assumptions!$B$39))*Assumptions!$D$22</f>
        <v>12000</v>
      </c>
      <c r="Q57" s="4">
        <f>IF(16&lt;=3,Assumptions!$B$37,IF(16&lt;=12,Assumptions!$B$38,Assumptions!$B$39))*Assumptions!$D$22</f>
        <v>12000</v>
      </c>
      <c r="R57" s="4">
        <f>IF(17&lt;=3,Assumptions!$B$37,IF(17&lt;=12,Assumptions!$B$38,Assumptions!$B$39))*Assumptions!$D$22</f>
        <v>12000</v>
      </c>
      <c r="S57" s="4">
        <f>IF(18&lt;=3,Assumptions!$B$37,IF(18&lt;=12,Assumptions!$B$38,Assumptions!$B$39))*Assumptions!$D$22</f>
        <v>12000</v>
      </c>
      <c r="T57" s="4">
        <f>IF(19&lt;=3,Assumptions!$B$37,IF(19&lt;=12,Assumptions!$B$38,Assumptions!$B$39))*Assumptions!$D$22</f>
        <v>12000</v>
      </c>
      <c r="U57" s="4">
        <f>IF(20&lt;=3,Assumptions!$B$37,IF(20&lt;=12,Assumptions!$B$38,Assumptions!$B$39))*Assumptions!$D$22</f>
        <v>12000</v>
      </c>
      <c r="V57" s="4">
        <f>IF(21&lt;=3,Assumptions!$B$37,IF(21&lt;=12,Assumptions!$B$38,Assumptions!$B$39))*Assumptions!$D$22</f>
        <v>12000</v>
      </c>
      <c r="W57" s="4">
        <f>IF(22&lt;=3,Assumptions!$B$37,IF(22&lt;=12,Assumptions!$B$38,Assumptions!$B$39))*Assumptions!$D$22</f>
        <v>12000</v>
      </c>
      <c r="X57" s="4">
        <f>IF(23&lt;=3,Assumptions!$B$37,IF(23&lt;=12,Assumptions!$B$38,Assumptions!$B$39))*Assumptions!$D$22</f>
        <v>12000</v>
      </c>
      <c r="Y57" s="4">
        <f>IF(24&lt;=3,Assumptions!$B$37,IF(24&lt;=12,Assumptions!$B$38,Assumptions!$B$39))*Assumptions!$D$22</f>
        <v>12000</v>
      </c>
      <c r="Z57" s="4">
        <f t="shared" si="10"/>
        <v>225000</v>
      </c>
    </row>
    <row r="58" spans="1:26" ht="16.5">
      <c r="A58" s="1" t="s">
        <v>119</v>
      </c>
      <c r="B58" s="4">
        <f>IF(1&lt;=3,Assumptions!$B$40,IF(1&lt;=12,Assumptions!$B$41,Assumptions!$B$42))*Assumptions!$D$22</f>
        <v>0</v>
      </c>
      <c r="C58" s="4">
        <f>IF(2&lt;=3,Assumptions!$B$40,IF(2&lt;=12,Assumptions!$B$41,Assumptions!$B$42))*Assumptions!$D$22</f>
        <v>0</v>
      </c>
      <c r="D58" s="4">
        <f>IF(3&lt;=3,Assumptions!$B$40,IF(3&lt;=12,Assumptions!$B$41,Assumptions!$B$42))*Assumptions!$D$22</f>
        <v>0</v>
      </c>
      <c r="E58" s="4">
        <f>IF(4&lt;=3,Assumptions!$B$40,IF(4&lt;=12,Assumptions!$B$41,Assumptions!$B$42))*Assumptions!$D$22</f>
        <v>4500</v>
      </c>
      <c r="F58" s="4">
        <f>IF(5&lt;=3,Assumptions!$B$40,IF(5&lt;=12,Assumptions!$B$41,Assumptions!$B$42))*Assumptions!$D$22</f>
        <v>4500</v>
      </c>
      <c r="G58" s="4">
        <f>IF(6&lt;=3,Assumptions!$B$40,IF(6&lt;=12,Assumptions!$B$41,Assumptions!$B$42))*Assumptions!$D$22</f>
        <v>4500</v>
      </c>
      <c r="H58" s="4">
        <f>IF(7&lt;=3,Assumptions!$B$40,IF(7&lt;=12,Assumptions!$B$41,Assumptions!$B$42))*Assumptions!$D$22</f>
        <v>4500</v>
      </c>
      <c r="I58" s="4">
        <f>IF(8&lt;=3,Assumptions!$B$40,IF(8&lt;=12,Assumptions!$B$41,Assumptions!$B$42))*Assumptions!$D$22</f>
        <v>4500</v>
      </c>
      <c r="J58" s="4">
        <f>IF(9&lt;=3,Assumptions!$B$40,IF(9&lt;=12,Assumptions!$B$41,Assumptions!$B$42))*Assumptions!$D$22</f>
        <v>4500</v>
      </c>
      <c r="K58" s="4">
        <f>IF(10&lt;=3,Assumptions!$B$40,IF(10&lt;=12,Assumptions!$B$41,Assumptions!$B$42))*Assumptions!$D$22</f>
        <v>4500</v>
      </c>
      <c r="L58" s="4">
        <f>IF(11&lt;=3,Assumptions!$B$40,IF(11&lt;=12,Assumptions!$B$41,Assumptions!$B$42))*Assumptions!$D$22</f>
        <v>4500</v>
      </c>
      <c r="M58" s="4">
        <f>IF(12&lt;=3,Assumptions!$B$40,IF(12&lt;=12,Assumptions!$B$41,Assumptions!$B$42))*Assumptions!$D$22</f>
        <v>4500</v>
      </c>
      <c r="N58" s="4">
        <f>IF(13&lt;=3,Assumptions!$B$40,IF(13&lt;=12,Assumptions!$B$41,Assumptions!$B$42))*Assumptions!$D$22</f>
        <v>9000</v>
      </c>
      <c r="O58" s="4">
        <f>IF(14&lt;=3,Assumptions!$B$40,IF(14&lt;=12,Assumptions!$B$41,Assumptions!$B$42))*Assumptions!$D$22</f>
        <v>9000</v>
      </c>
      <c r="P58" s="4">
        <f>IF(15&lt;=3,Assumptions!$B$40,IF(15&lt;=12,Assumptions!$B$41,Assumptions!$B$42))*Assumptions!$D$22</f>
        <v>9000</v>
      </c>
      <c r="Q58" s="4">
        <f>IF(16&lt;=3,Assumptions!$B$40,IF(16&lt;=12,Assumptions!$B$41,Assumptions!$B$42))*Assumptions!$D$22</f>
        <v>9000</v>
      </c>
      <c r="R58" s="4">
        <f>IF(17&lt;=3,Assumptions!$B$40,IF(17&lt;=12,Assumptions!$B$41,Assumptions!$B$42))*Assumptions!$D$22</f>
        <v>9000</v>
      </c>
      <c r="S58" s="4">
        <f>IF(18&lt;=3,Assumptions!$B$40,IF(18&lt;=12,Assumptions!$B$41,Assumptions!$B$42))*Assumptions!$D$22</f>
        <v>9000</v>
      </c>
      <c r="T58" s="4">
        <f>IF(19&lt;=3,Assumptions!$B$40,IF(19&lt;=12,Assumptions!$B$41,Assumptions!$B$42))*Assumptions!$D$22</f>
        <v>9000</v>
      </c>
      <c r="U58" s="4">
        <f>IF(20&lt;=3,Assumptions!$B$40,IF(20&lt;=12,Assumptions!$B$41,Assumptions!$B$42))*Assumptions!$D$22</f>
        <v>9000</v>
      </c>
      <c r="V58" s="4">
        <f>IF(21&lt;=3,Assumptions!$B$40,IF(21&lt;=12,Assumptions!$B$41,Assumptions!$B$42))*Assumptions!$D$22</f>
        <v>9000</v>
      </c>
      <c r="W58" s="4">
        <f>IF(22&lt;=3,Assumptions!$B$40,IF(22&lt;=12,Assumptions!$B$41,Assumptions!$B$42))*Assumptions!$D$22</f>
        <v>9000</v>
      </c>
      <c r="X58" s="4">
        <f>IF(23&lt;=3,Assumptions!$B$40,IF(23&lt;=12,Assumptions!$B$41,Assumptions!$B$42))*Assumptions!$D$22</f>
        <v>9000</v>
      </c>
      <c r="Y58" s="4">
        <f>IF(24&lt;=3,Assumptions!$B$40,IF(24&lt;=12,Assumptions!$B$41,Assumptions!$B$42))*Assumptions!$D$22</f>
        <v>9000</v>
      </c>
      <c r="Z58" s="4">
        <f t="shared" si="10"/>
        <v>148500</v>
      </c>
    </row>
    <row r="59" spans="1:26" ht="16.5">
      <c r="A59" s="1" t="s">
        <v>120</v>
      </c>
      <c r="B59" s="4">
        <f>Assumptions!$B$43*Assumptions!$D$22</f>
        <v>4500</v>
      </c>
      <c r="C59" s="4">
        <f>Assumptions!$B$43*Assumptions!$D$22</f>
        <v>4500</v>
      </c>
      <c r="D59" s="4">
        <f>Assumptions!$B$43*Assumptions!$D$22</f>
        <v>4500</v>
      </c>
      <c r="E59" s="4">
        <f>Assumptions!$B$43*Assumptions!$D$22</f>
        <v>4500</v>
      </c>
      <c r="F59" s="4">
        <f>Assumptions!$B$43*Assumptions!$D$22</f>
        <v>4500</v>
      </c>
      <c r="G59" s="4">
        <f>Assumptions!$B$43*Assumptions!$D$22</f>
        <v>4500</v>
      </c>
      <c r="H59" s="4">
        <f>Assumptions!$B$43*Assumptions!$D$22</f>
        <v>4500</v>
      </c>
      <c r="I59" s="4">
        <f>Assumptions!$B$43*Assumptions!$D$22</f>
        <v>4500</v>
      </c>
      <c r="J59" s="4">
        <f>Assumptions!$B$43*Assumptions!$D$22</f>
        <v>4500</v>
      </c>
      <c r="K59" s="4">
        <f>Assumptions!$B$43*Assumptions!$D$22</f>
        <v>4500</v>
      </c>
      <c r="L59" s="4">
        <f>Assumptions!$B$43*Assumptions!$D$22</f>
        <v>4500</v>
      </c>
      <c r="M59" s="4">
        <f>Assumptions!$B$43*Assumptions!$D$22</f>
        <v>4500</v>
      </c>
      <c r="N59" s="4">
        <f>Assumptions!$B$43*Assumptions!$D$22</f>
        <v>4500</v>
      </c>
      <c r="O59" s="4">
        <f>Assumptions!$B$43*Assumptions!$D$22</f>
        <v>4500</v>
      </c>
      <c r="P59" s="4">
        <f>Assumptions!$B$43*Assumptions!$D$22</f>
        <v>4500</v>
      </c>
      <c r="Q59" s="4">
        <f>Assumptions!$B$43*Assumptions!$D$22</f>
        <v>4500</v>
      </c>
      <c r="R59" s="4">
        <f>Assumptions!$B$43*Assumptions!$D$22</f>
        <v>4500</v>
      </c>
      <c r="S59" s="4">
        <f>Assumptions!$B$43*Assumptions!$D$22</f>
        <v>4500</v>
      </c>
      <c r="T59" s="4">
        <f>Assumptions!$B$43*Assumptions!$D$22</f>
        <v>4500</v>
      </c>
      <c r="U59" s="4">
        <f>Assumptions!$B$43*Assumptions!$D$22</f>
        <v>4500</v>
      </c>
      <c r="V59" s="4">
        <f>Assumptions!$B$43*Assumptions!$D$22</f>
        <v>4500</v>
      </c>
      <c r="W59" s="4">
        <f>Assumptions!$B$43*Assumptions!$D$22</f>
        <v>4500</v>
      </c>
      <c r="X59" s="4">
        <f>Assumptions!$B$43*Assumptions!$D$22</f>
        <v>4500</v>
      </c>
      <c r="Y59" s="4">
        <f>Assumptions!$B$43*Assumptions!$D$22</f>
        <v>4500</v>
      </c>
      <c r="Z59" s="4">
        <f t="shared" si="10"/>
        <v>108000</v>
      </c>
    </row>
    <row r="60" spans="1:26" ht="16.5">
      <c r="A60" s="1" t="s">
        <v>121</v>
      </c>
      <c r="B60" s="4">
        <f>SUMIF(Assumptions!$F$47:$F$50,1,Assumptions!$G$47:$G$50)*Assumptions!$D$22</f>
        <v>0</v>
      </c>
      <c r="C60" s="4">
        <f>SUMIF(Assumptions!$F$47:$F$50,2,Assumptions!$G$47:$G$50)*Assumptions!$D$22</f>
        <v>0</v>
      </c>
      <c r="D60" s="4">
        <f>SUMIF(Assumptions!$F$47:$F$50,3,Assumptions!$G$47:$G$50)*Assumptions!$D$22</f>
        <v>0</v>
      </c>
      <c r="E60" s="4">
        <f>SUMIF(Assumptions!$F$47:$F$50,4,Assumptions!$G$47:$G$50)*Assumptions!$D$22</f>
        <v>0</v>
      </c>
      <c r="F60" s="4">
        <f>SUMIF(Assumptions!$F$47:$F$50,5,Assumptions!$G$47:$G$50)*Assumptions!$D$22</f>
        <v>0</v>
      </c>
      <c r="G60" s="4">
        <f>SUMIF(Assumptions!$F$47:$F$50,6,Assumptions!$G$47:$G$50)*Assumptions!$D$22</f>
        <v>45000</v>
      </c>
      <c r="H60" s="4">
        <f>SUMIF(Assumptions!$F$47:$F$50,7,Assumptions!$G$47:$G$50)*Assumptions!$D$22</f>
        <v>0</v>
      </c>
      <c r="I60" s="4">
        <f>SUMIF(Assumptions!$F$47:$F$50,8,Assumptions!$G$47:$G$50)*Assumptions!$D$22</f>
        <v>0</v>
      </c>
      <c r="J60" s="4">
        <f>SUMIF(Assumptions!$F$47:$F$50,9,Assumptions!$G$47:$G$50)*Assumptions!$D$22</f>
        <v>0</v>
      </c>
      <c r="K60" s="4">
        <f>SUMIF(Assumptions!$F$47:$F$50,10,Assumptions!$G$47:$G$50)*Assumptions!$D$22</f>
        <v>0</v>
      </c>
      <c r="L60" s="4">
        <f>SUMIF(Assumptions!$F$47:$F$50,11,Assumptions!$G$47:$G$50)*Assumptions!$D$22</f>
        <v>0</v>
      </c>
      <c r="M60" s="4">
        <f>SUMIF(Assumptions!$F$47:$F$50,12,Assumptions!$G$47:$G$50)*Assumptions!$D$22</f>
        <v>60000</v>
      </c>
      <c r="N60" s="4">
        <f>SUMIF(Assumptions!$F$47:$F$50,13,Assumptions!$G$47:$G$50)*Assumptions!$D$22</f>
        <v>0</v>
      </c>
      <c r="O60" s="4">
        <f>SUMIF(Assumptions!$F$47:$F$50,14,Assumptions!$G$47:$G$50)*Assumptions!$D$22</f>
        <v>0</v>
      </c>
      <c r="P60" s="4">
        <f>SUMIF(Assumptions!$F$47:$F$50,15,Assumptions!$G$47:$G$50)*Assumptions!$D$22</f>
        <v>0</v>
      </c>
      <c r="Q60" s="4">
        <f>SUMIF(Assumptions!$F$47:$F$50,16,Assumptions!$G$47:$G$50)*Assumptions!$D$22</f>
        <v>0</v>
      </c>
      <c r="R60" s="4">
        <f>SUMIF(Assumptions!$F$47:$F$50,17,Assumptions!$G$47:$G$50)*Assumptions!$D$22</f>
        <v>0</v>
      </c>
      <c r="S60" s="4">
        <f>SUMIF(Assumptions!$F$47:$F$50,18,Assumptions!$G$47:$G$50)*Assumptions!$D$22</f>
        <v>60000</v>
      </c>
      <c r="T60" s="4">
        <f>SUMIF(Assumptions!$F$47:$F$50,19,Assumptions!$G$47:$G$50)*Assumptions!$D$22</f>
        <v>0</v>
      </c>
      <c r="U60" s="4">
        <f>SUMIF(Assumptions!$F$47:$F$50,20,Assumptions!$G$47:$G$50)*Assumptions!$D$22</f>
        <v>0</v>
      </c>
      <c r="V60" s="4">
        <f>SUMIF(Assumptions!$F$47:$F$50,21,Assumptions!$G$47:$G$50)*Assumptions!$D$22</f>
        <v>0</v>
      </c>
      <c r="W60" s="4">
        <f>SUMIF(Assumptions!$F$47:$F$50,22,Assumptions!$G$47:$G$50)*Assumptions!$D$22</f>
        <v>0</v>
      </c>
      <c r="X60" s="4">
        <f>SUMIF(Assumptions!$F$47:$F$50,23,Assumptions!$G$47:$G$50)*Assumptions!$D$22</f>
        <v>0</v>
      </c>
      <c r="Y60" s="4">
        <f>SUMIF(Assumptions!$F$47:$F$50,24,Assumptions!$G$47:$G$50)*Assumptions!$D$22</f>
        <v>60000</v>
      </c>
      <c r="Z60" s="4">
        <f t="shared" si="10"/>
        <v>225000</v>
      </c>
    </row>
    <row r="61" spans="1:26" ht="16.5">
      <c r="A61" s="1" t="s">
        <v>122</v>
      </c>
      <c r="B61" s="4">
        <f>Cohorts!B38</f>
        <v>0</v>
      </c>
      <c r="C61" s="4">
        <f>Cohorts!C38</f>
        <v>0</v>
      </c>
      <c r="D61" s="4">
        <f>Cohorts!D38</f>
        <v>0</v>
      </c>
      <c r="E61" s="4">
        <f>Cohorts!E38</f>
        <v>0</v>
      </c>
      <c r="F61" s="4">
        <f>Cohorts!F38</f>
        <v>0</v>
      </c>
      <c r="G61" s="4">
        <f>Cohorts!G38</f>
        <v>0</v>
      </c>
      <c r="H61" s="4">
        <f>Cohorts!H38</f>
        <v>0</v>
      </c>
      <c r="I61" s="4">
        <f>Cohorts!I38</f>
        <v>0</v>
      </c>
      <c r="J61" s="4">
        <f>Cohorts!J38</f>
        <v>0</v>
      </c>
      <c r="K61" s="4">
        <f>Cohorts!K38</f>
        <v>0</v>
      </c>
      <c r="L61" s="4">
        <f>Cohorts!L38</f>
        <v>0</v>
      </c>
      <c r="M61" s="4">
        <f>Cohorts!M38</f>
        <v>0</v>
      </c>
      <c r="N61" s="4">
        <f>Cohorts!N38</f>
        <v>0</v>
      </c>
      <c r="O61" s="4">
        <f>Cohorts!O38</f>
        <v>0</v>
      </c>
      <c r="P61" s="4">
        <f>Cohorts!P38</f>
        <v>0</v>
      </c>
      <c r="Q61" s="4">
        <f>Cohorts!Q38</f>
        <v>0</v>
      </c>
      <c r="R61" s="4">
        <f>Cohorts!R38</f>
        <v>0</v>
      </c>
      <c r="S61" s="4">
        <f>Cohorts!S38</f>
        <v>0</v>
      </c>
      <c r="T61" s="4">
        <f>Cohorts!T38</f>
        <v>1692917.5348</v>
      </c>
      <c r="U61" s="4">
        <f>Cohorts!U38</f>
        <v>1692917.5348</v>
      </c>
      <c r="V61" s="4">
        <f>Cohorts!V38</f>
        <v>1692917.5348</v>
      </c>
      <c r="W61" s="4">
        <f>Cohorts!W38</f>
        <v>3383803.3952000001</v>
      </c>
      <c r="X61" s="4">
        <f>Cohorts!X38</f>
        <v>3383803.3952000001</v>
      </c>
      <c r="Y61" s="4">
        <f>Cohorts!Y38</f>
        <v>3383803.3952000001</v>
      </c>
      <c r="Z61" s="4">
        <f t="shared" si="10"/>
        <v>15230162.789999999</v>
      </c>
    </row>
    <row r="62" spans="1:26" ht="16.5">
      <c r="A62" s="1" t="s">
        <v>123</v>
      </c>
      <c r="B62" s="4">
        <f>IF(1=Assumptions!$B$10,Assumptions!$B$7,0)</f>
        <v>0</v>
      </c>
      <c r="C62" s="4">
        <f>IF(2=Assumptions!$B$10,Assumptions!$B$7,0)</f>
        <v>0</v>
      </c>
      <c r="D62" s="4">
        <f>IF(3=Assumptions!$B$10,Assumptions!$B$7,0)</f>
        <v>0</v>
      </c>
      <c r="E62" s="4">
        <f>IF(4=Assumptions!$B$10,Assumptions!$B$7,0)</f>
        <v>0</v>
      </c>
      <c r="F62" s="4">
        <f>IF(5=Assumptions!$B$10,Assumptions!$B$7,0)</f>
        <v>0</v>
      </c>
      <c r="G62" s="4">
        <f>IF(6=Assumptions!$B$10,Assumptions!$B$7,0)</f>
        <v>0</v>
      </c>
      <c r="H62" s="4">
        <f>IF(7=Assumptions!$B$10,Assumptions!$B$7,0)</f>
        <v>0</v>
      </c>
      <c r="I62" s="4">
        <f>IF(8=Assumptions!$B$10,Assumptions!$B$7,0)</f>
        <v>0</v>
      </c>
      <c r="J62" s="4">
        <f>IF(9=Assumptions!$B$10,Assumptions!$B$7,0)</f>
        <v>0</v>
      </c>
      <c r="K62" s="4">
        <f>IF(10=Assumptions!$B$10,Assumptions!$B$7,0)</f>
        <v>0</v>
      </c>
      <c r="L62" s="4">
        <f>IF(11=Assumptions!$B$10,Assumptions!$B$7,0)</f>
        <v>0</v>
      </c>
      <c r="M62" s="4">
        <f>IF(12=Assumptions!$B$10,Assumptions!$B$7,0)</f>
        <v>0</v>
      </c>
      <c r="N62" s="4">
        <f>IF(13=Assumptions!$B$10,Assumptions!$B$7,0)</f>
        <v>0</v>
      </c>
      <c r="O62" s="4">
        <f>IF(14=Assumptions!$B$10,Assumptions!$B$7,0)</f>
        <v>0</v>
      </c>
      <c r="P62" s="4">
        <f>IF(15=Assumptions!$B$10,Assumptions!$B$7,0)</f>
        <v>0</v>
      </c>
      <c r="Q62" s="4">
        <f>IF(16=Assumptions!$B$10,Assumptions!$B$7,0)</f>
        <v>0</v>
      </c>
      <c r="R62" s="4">
        <f>IF(17=Assumptions!$B$10,Assumptions!$B$7,0)</f>
        <v>0</v>
      </c>
      <c r="S62" s="4">
        <f>IF(18=Assumptions!$B$10,Assumptions!$B$7,0)</f>
        <v>0</v>
      </c>
      <c r="T62" s="4">
        <f>IF(19=Assumptions!$B$10,Assumptions!$B$7,0)</f>
        <v>0</v>
      </c>
      <c r="U62" s="4">
        <f>IF(20=Assumptions!$B$10,Assumptions!$B$7,0)</f>
        <v>0</v>
      </c>
      <c r="V62" s="4">
        <f>IF(21=Assumptions!$B$10,Assumptions!$B$7,0)</f>
        <v>0</v>
      </c>
      <c r="W62" s="4">
        <f>IF(22=Assumptions!$B$10,Assumptions!$B$7,0)</f>
        <v>0</v>
      </c>
      <c r="X62" s="4">
        <f>IF(23=Assumptions!$B$10,Assumptions!$B$7,0)</f>
        <v>0</v>
      </c>
      <c r="Y62" s="4">
        <f>IF(24=Assumptions!$B$10,Assumptions!$B$7,0)</f>
        <v>0</v>
      </c>
      <c r="Z62" s="4">
        <f t="shared" si="10"/>
        <v>0</v>
      </c>
    </row>
    <row r="63" spans="1:26" ht="16.5">
      <c r="A63" s="1" t="s">
        <v>124</v>
      </c>
      <c r="B63" s="4">
        <f t="shared" ref="B63:Y63" si="11">SUM(B54:B62)</f>
        <v>116557.4316</v>
      </c>
      <c r="C63" s="4">
        <f t="shared" si="11"/>
        <v>116557.4316</v>
      </c>
      <c r="D63" s="4">
        <f t="shared" si="11"/>
        <v>116557.4316</v>
      </c>
      <c r="E63" s="4">
        <f t="shared" si="11"/>
        <v>130057.4316</v>
      </c>
      <c r="F63" s="4">
        <f t="shared" si="11"/>
        <v>130057.4316</v>
      </c>
      <c r="G63" s="4">
        <f t="shared" si="11"/>
        <v>175057.43160000001</v>
      </c>
      <c r="H63" s="4">
        <f t="shared" si="11"/>
        <v>161446.78950000001</v>
      </c>
      <c r="I63" s="4">
        <f t="shared" si="11"/>
        <v>161446.78950000001</v>
      </c>
      <c r="J63" s="4">
        <f t="shared" si="11"/>
        <v>161446.78950000001</v>
      </c>
      <c r="K63" s="4">
        <f t="shared" si="11"/>
        <v>161446.78950000001</v>
      </c>
      <c r="L63" s="4">
        <f t="shared" si="11"/>
        <v>161446.78950000001</v>
      </c>
      <c r="M63" s="4">
        <f t="shared" si="11"/>
        <v>221446.78950000001</v>
      </c>
      <c r="N63" s="4">
        <f t="shared" si="11"/>
        <v>173446.78950000001</v>
      </c>
      <c r="O63" s="4">
        <f t="shared" si="11"/>
        <v>173446.78950000001</v>
      </c>
      <c r="P63" s="4">
        <f t="shared" si="11"/>
        <v>173446.78950000001</v>
      </c>
      <c r="Q63" s="4">
        <f t="shared" si="11"/>
        <v>173446.78950000001</v>
      </c>
      <c r="R63" s="4">
        <f t="shared" si="11"/>
        <v>173446.78950000001</v>
      </c>
      <c r="S63" s="4">
        <f t="shared" si="11"/>
        <v>233446.78950000001</v>
      </c>
      <c r="T63" s="4">
        <f t="shared" si="11"/>
        <v>1866364.3243</v>
      </c>
      <c r="U63" s="4">
        <f t="shared" si="11"/>
        <v>1866364.3243</v>
      </c>
      <c r="V63" s="4">
        <f t="shared" si="11"/>
        <v>1866364.3243</v>
      </c>
      <c r="W63" s="4">
        <f t="shared" si="11"/>
        <v>3557250.1847000001</v>
      </c>
      <c r="X63" s="4">
        <f t="shared" si="11"/>
        <v>3557250.1847000001</v>
      </c>
      <c r="Y63" s="4">
        <f t="shared" si="11"/>
        <v>3617250.1847000001</v>
      </c>
      <c r="Z63" s="4">
        <f t="shared" si="10"/>
        <v>19245049.590600003</v>
      </c>
    </row>
    <row r="64" spans="1:26" ht="16.5">
      <c r="A64" s="1" t="s">
        <v>125</v>
      </c>
      <c r="B64" s="4">
        <f>SUMIF(Assumptions!$F$54:$F$55,1,Assumptions!$G$54:$G$55)*Assumptions!$D$22</f>
        <v>75000</v>
      </c>
      <c r="C64" s="4">
        <f>SUMIF(Assumptions!$F$54:$F$55,2,Assumptions!$G$54:$G$55)*Assumptions!$D$22</f>
        <v>0</v>
      </c>
      <c r="D64" s="4">
        <f>SUMIF(Assumptions!$F$54:$F$55,3,Assumptions!$G$54:$G$55)*Assumptions!$D$22</f>
        <v>0</v>
      </c>
      <c r="E64" s="4">
        <f>SUMIF(Assumptions!$F$54:$F$55,4,Assumptions!$G$54:$G$55)*Assumptions!$D$22</f>
        <v>0</v>
      </c>
      <c r="F64" s="4">
        <f>SUMIF(Assumptions!$F$54:$F$55,5,Assumptions!$G$54:$G$55)*Assumptions!$D$22</f>
        <v>0</v>
      </c>
      <c r="G64" s="4">
        <f>SUMIF(Assumptions!$F$54:$F$55,6,Assumptions!$G$54:$G$55)*Assumptions!$D$22</f>
        <v>0</v>
      </c>
      <c r="H64" s="4">
        <f>SUMIF(Assumptions!$F$54:$F$55,7,Assumptions!$G$54:$G$55)*Assumptions!$D$22</f>
        <v>45000</v>
      </c>
      <c r="I64" s="4">
        <f>SUMIF(Assumptions!$F$54:$F$55,8,Assumptions!$G$54:$G$55)*Assumptions!$D$22</f>
        <v>0</v>
      </c>
      <c r="J64" s="4">
        <f>SUMIF(Assumptions!$F$54:$F$55,9,Assumptions!$G$54:$G$55)*Assumptions!$D$22</f>
        <v>0</v>
      </c>
      <c r="K64" s="4">
        <f>SUMIF(Assumptions!$F$54:$F$55,10,Assumptions!$G$54:$G$55)*Assumptions!$D$22</f>
        <v>0</v>
      </c>
      <c r="L64" s="4">
        <f>SUMIF(Assumptions!$F$54:$F$55,11,Assumptions!$G$54:$G$55)*Assumptions!$D$22</f>
        <v>0</v>
      </c>
      <c r="M64" s="4">
        <f>SUMIF(Assumptions!$F$54:$F$55,12,Assumptions!$G$54:$G$55)*Assumptions!$D$22</f>
        <v>0</v>
      </c>
      <c r="N64" s="4">
        <f>SUMIF(Assumptions!$F$54:$F$55,13,Assumptions!$G$54:$G$55)*Assumptions!$D$22</f>
        <v>0</v>
      </c>
      <c r="O64" s="4">
        <f>SUMIF(Assumptions!$F$54:$F$55,14,Assumptions!$G$54:$G$55)*Assumptions!$D$22</f>
        <v>0</v>
      </c>
      <c r="P64" s="4">
        <f>SUMIF(Assumptions!$F$54:$F$55,15,Assumptions!$G$54:$G$55)*Assumptions!$D$22</f>
        <v>0</v>
      </c>
      <c r="Q64" s="4">
        <f>SUMIF(Assumptions!$F$54:$F$55,16,Assumptions!$G$54:$G$55)*Assumptions!$D$22</f>
        <v>0</v>
      </c>
      <c r="R64" s="4">
        <f>SUMIF(Assumptions!$F$54:$F$55,17,Assumptions!$G$54:$G$55)*Assumptions!$D$22</f>
        <v>0</v>
      </c>
      <c r="S64" s="4">
        <f>SUMIF(Assumptions!$F$54:$F$55,18,Assumptions!$G$54:$G$55)*Assumptions!$D$22</f>
        <v>0</v>
      </c>
      <c r="T64" s="4">
        <f>SUMIF(Assumptions!$F$54:$F$55,19,Assumptions!$G$54:$G$55)*Assumptions!$D$22</f>
        <v>0</v>
      </c>
      <c r="U64" s="4">
        <f>SUMIF(Assumptions!$F$54:$F$55,20,Assumptions!$G$54:$G$55)*Assumptions!$D$22</f>
        <v>0</v>
      </c>
      <c r="V64" s="4">
        <f>SUMIF(Assumptions!$F$54:$F$55,21,Assumptions!$G$54:$G$55)*Assumptions!$D$22</f>
        <v>0</v>
      </c>
      <c r="W64" s="4">
        <f>SUMIF(Assumptions!$F$54:$F$55,22,Assumptions!$G$54:$G$55)*Assumptions!$D$22</f>
        <v>0</v>
      </c>
      <c r="X64" s="4">
        <f>SUMIF(Assumptions!$F$54:$F$55,23,Assumptions!$G$54:$G$55)*Assumptions!$D$22</f>
        <v>0</v>
      </c>
      <c r="Y64" s="4">
        <f>SUMIF(Assumptions!$F$54:$F$55,24,Assumptions!$G$54:$G$55)*Assumptions!$D$22</f>
        <v>0</v>
      </c>
      <c r="Z64" s="4">
        <f t="shared" si="10"/>
        <v>120000</v>
      </c>
    </row>
    <row r="65" spans="1:26" ht="16.5">
      <c r="A65" s="1" t="s">
        <v>126</v>
      </c>
      <c r="B65" s="4">
        <f>SUMPRODUCT((1-Assumptions!$F$54:$F$55+1&gt;0)*(1-Assumptions!$F$54:$F$55+1&lt;=Assumptions!$B$11)*Assumptions!$G$54:$G$55)*Assumptions!$D$22/Assumptions!$B$11</f>
        <v>2083.3333333333335</v>
      </c>
      <c r="C65" s="4">
        <f>SUMPRODUCT((2-Assumptions!$F$54:$F$55+1&gt;0)*(2-Assumptions!$F$54:$F$55+1&lt;=Assumptions!$B$11)*Assumptions!$G$54:$G$55)*Assumptions!$D$22/Assumptions!$B$11</f>
        <v>2083.3333333333335</v>
      </c>
      <c r="D65" s="4">
        <f>SUMPRODUCT((3-Assumptions!$F$54:$F$55+1&gt;0)*(3-Assumptions!$F$54:$F$55+1&lt;=Assumptions!$B$11)*Assumptions!$G$54:$G$55)*Assumptions!$D$22/Assumptions!$B$11</f>
        <v>2083.3333333333335</v>
      </c>
      <c r="E65" s="4">
        <f>SUMPRODUCT((4-Assumptions!$F$54:$F$55+1&gt;0)*(4-Assumptions!$F$54:$F$55+1&lt;=Assumptions!$B$11)*Assumptions!$G$54:$G$55)*Assumptions!$D$22/Assumptions!$B$11</f>
        <v>2083.3333333333335</v>
      </c>
      <c r="F65" s="4">
        <f>SUMPRODUCT((5-Assumptions!$F$54:$F$55+1&gt;0)*(5-Assumptions!$F$54:$F$55+1&lt;=Assumptions!$B$11)*Assumptions!$G$54:$G$55)*Assumptions!$D$22/Assumptions!$B$11</f>
        <v>2083.3333333333335</v>
      </c>
      <c r="G65" s="4">
        <f>SUMPRODUCT((6-Assumptions!$F$54:$F$55+1&gt;0)*(6-Assumptions!$F$54:$F$55+1&lt;=Assumptions!$B$11)*Assumptions!$G$54:$G$55)*Assumptions!$D$22/Assumptions!$B$11</f>
        <v>2083.3333333333335</v>
      </c>
      <c r="H65" s="4">
        <f>SUMPRODUCT((7-Assumptions!$F$54:$F$55+1&gt;0)*(7-Assumptions!$F$54:$F$55+1&lt;=Assumptions!$B$11)*Assumptions!$G$54:$G$55)*Assumptions!$D$22/Assumptions!$B$11</f>
        <v>3333.3333333333335</v>
      </c>
      <c r="I65" s="4">
        <f>SUMPRODUCT((8-Assumptions!$F$54:$F$55+1&gt;0)*(8-Assumptions!$F$54:$F$55+1&lt;=Assumptions!$B$11)*Assumptions!$G$54:$G$55)*Assumptions!$D$22/Assumptions!$B$11</f>
        <v>3333.3333333333335</v>
      </c>
      <c r="J65" s="4">
        <f>SUMPRODUCT((9-Assumptions!$F$54:$F$55+1&gt;0)*(9-Assumptions!$F$54:$F$55+1&lt;=Assumptions!$B$11)*Assumptions!$G$54:$G$55)*Assumptions!$D$22/Assumptions!$B$11</f>
        <v>3333.3333333333335</v>
      </c>
      <c r="K65" s="4">
        <f>SUMPRODUCT((10-Assumptions!$F$54:$F$55+1&gt;0)*(10-Assumptions!$F$54:$F$55+1&lt;=Assumptions!$B$11)*Assumptions!$G$54:$G$55)*Assumptions!$D$22/Assumptions!$B$11</f>
        <v>3333.3333333333335</v>
      </c>
      <c r="L65" s="4">
        <f>SUMPRODUCT((11-Assumptions!$F$54:$F$55+1&gt;0)*(11-Assumptions!$F$54:$F$55+1&lt;=Assumptions!$B$11)*Assumptions!$G$54:$G$55)*Assumptions!$D$22/Assumptions!$B$11</f>
        <v>3333.3333333333335</v>
      </c>
      <c r="M65" s="4">
        <f>SUMPRODUCT((12-Assumptions!$F$54:$F$55+1&gt;0)*(12-Assumptions!$F$54:$F$55+1&lt;=Assumptions!$B$11)*Assumptions!$G$54:$G$55)*Assumptions!$D$22/Assumptions!$B$11</f>
        <v>3333.3333333333335</v>
      </c>
      <c r="N65" s="4">
        <f>SUMPRODUCT((13-Assumptions!$F$54:$F$55+1&gt;0)*(13-Assumptions!$F$54:$F$55+1&lt;=Assumptions!$B$11)*Assumptions!$G$54:$G$55)*Assumptions!$D$22/Assumptions!$B$11</f>
        <v>3333.3333333333335</v>
      </c>
      <c r="O65" s="4">
        <f>SUMPRODUCT((14-Assumptions!$F$54:$F$55+1&gt;0)*(14-Assumptions!$F$54:$F$55+1&lt;=Assumptions!$B$11)*Assumptions!$G$54:$G$55)*Assumptions!$D$22/Assumptions!$B$11</f>
        <v>3333.3333333333335</v>
      </c>
      <c r="P65" s="4">
        <f>SUMPRODUCT((15-Assumptions!$F$54:$F$55+1&gt;0)*(15-Assumptions!$F$54:$F$55+1&lt;=Assumptions!$B$11)*Assumptions!$G$54:$G$55)*Assumptions!$D$22/Assumptions!$B$11</f>
        <v>3333.3333333333335</v>
      </c>
      <c r="Q65" s="4">
        <f>SUMPRODUCT((16-Assumptions!$F$54:$F$55+1&gt;0)*(16-Assumptions!$F$54:$F$55+1&lt;=Assumptions!$B$11)*Assumptions!$G$54:$G$55)*Assumptions!$D$22/Assumptions!$B$11</f>
        <v>3333.3333333333335</v>
      </c>
      <c r="R65" s="4">
        <f>SUMPRODUCT((17-Assumptions!$F$54:$F$55+1&gt;0)*(17-Assumptions!$F$54:$F$55+1&lt;=Assumptions!$B$11)*Assumptions!$G$54:$G$55)*Assumptions!$D$22/Assumptions!$B$11</f>
        <v>3333.3333333333335</v>
      </c>
      <c r="S65" s="4">
        <f>SUMPRODUCT((18-Assumptions!$F$54:$F$55+1&gt;0)*(18-Assumptions!$F$54:$F$55+1&lt;=Assumptions!$B$11)*Assumptions!$G$54:$G$55)*Assumptions!$D$22/Assumptions!$B$11</f>
        <v>3333.3333333333335</v>
      </c>
      <c r="T65" s="4">
        <f>SUMPRODUCT((19-Assumptions!$F$54:$F$55+1&gt;0)*(19-Assumptions!$F$54:$F$55+1&lt;=Assumptions!$B$11)*Assumptions!$G$54:$G$55)*Assumptions!$D$22/Assumptions!$B$11</f>
        <v>3333.3333333333335</v>
      </c>
      <c r="U65" s="4">
        <f>SUMPRODUCT((20-Assumptions!$F$54:$F$55+1&gt;0)*(20-Assumptions!$F$54:$F$55+1&lt;=Assumptions!$B$11)*Assumptions!$G$54:$G$55)*Assumptions!$D$22/Assumptions!$B$11</f>
        <v>3333.3333333333335</v>
      </c>
      <c r="V65" s="4">
        <f>SUMPRODUCT((21-Assumptions!$F$54:$F$55+1&gt;0)*(21-Assumptions!$F$54:$F$55+1&lt;=Assumptions!$B$11)*Assumptions!$G$54:$G$55)*Assumptions!$D$22/Assumptions!$B$11</f>
        <v>3333.3333333333335</v>
      </c>
      <c r="W65" s="4">
        <f>SUMPRODUCT((22-Assumptions!$F$54:$F$55+1&gt;0)*(22-Assumptions!$F$54:$F$55+1&lt;=Assumptions!$B$11)*Assumptions!$G$54:$G$55)*Assumptions!$D$22/Assumptions!$B$11</f>
        <v>3333.3333333333335</v>
      </c>
      <c r="X65" s="4">
        <f>SUMPRODUCT((23-Assumptions!$F$54:$F$55+1&gt;0)*(23-Assumptions!$F$54:$F$55+1&lt;=Assumptions!$B$11)*Assumptions!$G$54:$G$55)*Assumptions!$D$22/Assumptions!$B$11</f>
        <v>3333.3333333333335</v>
      </c>
      <c r="Y65" s="4">
        <f>SUMPRODUCT((24-Assumptions!$F$54:$F$55+1&gt;0)*(24-Assumptions!$F$54:$F$55+1&lt;=Assumptions!$B$11)*Assumptions!$G$54:$G$55)*Assumptions!$D$22/Assumptions!$B$11</f>
        <v>3333.3333333333335</v>
      </c>
      <c r="Z65" s="4">
        <f t="shared" si="10"/>
        <v>72500</v>
      </c>
    </row>
    <row r="66" spans="1:26" ht="16.5">
      <c r="A66" s="1" t="s">
        <v>127</v>
      </c>
      <c r="B66" s="4">
        <f t="shared" ref="B66:Y66" si="12">B63+B65</f>
        <v>118640.76493333332</v>
      </c>
      <c r="C66" s="4">
        <f t="shared" si="12"/>
        <v>118640.76493333332</v>
      </c>
      <c r="D66" s="4">
        <f t="shared" si="12"/>
        <v>118640.76493333332</v>
      </c>
      <c r="E66" s="4">
        <f t="shared" si="12"/>
        <v>132140.76493333332</v>
      </c>
      <c r="F66" s="4">
        <f t="shared" si="12"/>
        <v>132140.76493333332</v>
      </c>
      <c r="G66" s="4">
        <f t="shared" si="12"/>
        <v>177140.76493333335</v>
      </c>
      <c r="H66" s="4">
        <f t="shared" si="12"/>
        <v>164780.12283333336</v>
      </c>
      <c r="I66" s="4">
        <f t="shared" si="12"/>
        <v>164780.12283333336</v>
      </c>
      <c r="J66" s="4">
        <f t="shared" si="12"/>
        <v>164780.12283333336</v>
      </c>
      <c r="K66" s="4">
        <f t="shared" si="12"/>
        <v>164780.12283333336</v>
      </c>
      <c r="L66" s="4">
        <f t="shared" si="12"/>
        <v>164780.12283333336</v>
      </c>
      <c r="M66" s="4">
        <f t="shared" si="12"/>
        <v>224780.12283333336</v>
      </c>
      <c r="N66" s="4">
        <f t="shared" si="12"/>
        <v>176780.12283333336</v>
      </c>
      <c r="O66" s="4">
        <f t="shared" si="12"/>
        <v>176780.12283333336</v>
      </c>
      <c r="P66" s="4">
        <f t="shared" si="12"/>
        <v>176780.12283333336</v>
      </c>
      <c r="Q66" s="4">
        <f t="shared" si="12"/>
        <v>176780.12283333336</v>
      </c>
      <c r="R66" s="4">
        <f t="shared" si="12"/>
        <v>176780.12283333336</v>
      </c>
      <c r="S66" s="4">
        <f t="shared" si="12"/>
        <v>236780.12283333336</v>
      </c>
      <c r="T66" s="4">
        <f t="shared" si="12"/>
        <v>1869697.6576333332</v>
      </c>
      <c r="U66" s="4">
        <f t="shared" si="12"/>
        <v>1869697.6576333332</v>
      </c>
      <c r="V66" s="4">
        <f t="shared" si="12"/>
        <v>1869697.6576333332</v>
      </c>
      <c r="W66" s="4">
        <f t="shared" si="12"/>
        <v>3560583.5180333336</v>
      </c>
      <c r="X66" s="4">
        <f t="shared" si="12"/>
        <v>3560583.5180333336</v>
      </c>
      <c r="Y66" s="4">
        <f t="shared" si="12"/>
        <v>3620583.5180333336</v>
      </c>
      <c r="Z66" s="4">
        <f t="shared" si="10"/>
        <v>19317549.590600003</v>
      </c>
    </row>
    <row r="67" spans="1:26" ht="16.5">
      <c r="A67" s="1" t="s">
        <v>128</v>
      </c>
      <c r="B67" s="4">
        <f t="shared" ref="B67:Y67" si="13">SUM(B54:B60)</f>
        <v>116557.4316</v>
      </c>
      <c r="C67" s="4">
        <f t="shared" si="13"/>
        <v>116557.4316</v>
      </c>
      <c r="D67" s="4">
        <f t="shared" si="13"/>
        <v>116557.4316</v>
      </c>
      <c r="E67" s="4">
        <f t="shared" si="13"/>
        <v>130057.4316</v>
      </c>
      <c r="F67" s="4">
        <f t="shared" si="13"/>
        <v>130057.4316</v>
      </c>
      <c r="G67" s="4">
        <f t="shared" si="13"/>
        <v>175057.43160000001</v>
      </c>
      <c r="H67" s="4">
        <f t="shared" si="13"/>
        <v>161446.78950000001</v>
      </c>
      <c r="I67" s="4">
        <f t="shared" si="13"/>
        <v>161446.78950000001</v>
      </c>
      <c r="J67" s="4">
        <f t="shared" si="13"/>
        <v>161446.78950000001</v>
      </c>
      <c r="K67" s="4">
        <f t="shared" si="13"/>
        <v>161446.78950000001</v>
      </c>
      <c r="L67" s="4">
        <f t="shared" si="13"/>
        <v>161446.78950000001</v>
      </c>
      <c r="M67" s="4">
        <f t="shared" si="13"/>
        <v>221446.78950000001</v>
      </c>
      <c r="N67" s="4">
        <f t="shared" si="13"/>
        <v>173446.78950000001</v>
      </c>
      <c r="O67" s="4">
        <f t="shared" si="13"/>
        <v>173446.78950000001</v>
      </c>
      <c r="P67" s="4">
        <f t="shared" si="13"/>
        <v>173446.78950000001</v>
      </c>
      <c r="Q67" s="4">
        <f t="shared" si="13"/>
        <v>173446.78950000001</v>
      </c>
      <c r="R67" s="4">
        <f t="shared" si="13"/>
        <v>173446.78950000001</v>
      </c>
      <c r="S67" s="4">
        <f t="shared" si="13"/>
        <v>233446.78950000001</v>
      </c>
      <c r="T67" s="4">
        <f t="shared" si="13"/>
        <v>173446.78950000001</v>
      </c>
      <c r="U67" s="4">
        <f t="shared" si="13"/>
        <v>173446.78950000001</v>
      </c>
      <c r="V67" s="4">
        <f t="shared" si="13"/>
        <v>173446.78950000001</v>
      </c>
      <c r="W67" s="4">
        <f t="shared" si="13"/>
        <v>173446.78950000001</v>
      </c>
      <c r="X67" s="4">
        <f t="shared" si="13"/>
        <v>173446.78950000001</v>
      </c>
      <c r="Y67" s="4">
        <f t="shared" si="13"/>
        <v>233446.78950000001</v>
      </c>
      <c r="Z67" s="4">
        <f t="shared" si="10"/>
        <v>4014886.8005999993</v>
      </c>
    </row>
    <row r="68" spans="1:26" ht="16.5">
      <c r="A68" s="1" t="s">
        <v>129</v>
      </c>
      <c r="B68" s="4">
        <f t="shared" ref="B68:Y68" si="14">SUM(B54:B59)</f>
        <v>116557.4316</v>
      </c>
      <c r="C68" s="4">
        <f t="shared" si="14"/>
        <v>116557.4316</v>
      </c>
      <c r="D68" s="4">
        <f t="shared" si="14"/>
        <v>116557.4316</v>
      </c>
      <c r="E68" s="4">
        <f t="shared" si="14"/>
        <v>130057.4316</v>
      </c>
      <c r="F68" s="4">
        <f t="shared" si="14"/>
        <v>130057.4316</v>
      </c>
      <c r="G68" s="4">
        <f t="shared" si="14"/>
        <v>130057.4316</v>
      </c>
      <c r="H68" s="4">
        <f t="shared" si="14"/>
        <v>161446.78950000001</v>
      </c>
      <c r="I68" s="4">
        <f t="shared" si="14"/>
        <v>161446.78950000001</v>
      </c>
      <c r="J68" s="4">
        <f t="shared" si="14"/>
        <v>161446.78950000001</v>
      </c>
      <c r="K68" s="4">
        <f t="shared" si="14"/>
        <v>161446.78950000001</v>
      </c>
      <c r="L68" s="4">
        <f t="shared" si="14"/>
        <v>161446.78950000001</v>
      </c>
      <c r="M68" s="4">
        <f t="shared" si="14"/>
        <v>161446.78950000001</v>
      </c>
      <c r="N68" s="4">
        <f t="shared" si="14"/>
        <v>173446.78950000001</v>
      </c>
      <c r="O68" s="4">
        <f t="shared" si="14"/>
        <v>173446.78950000001</v>
      </c>
      <c r="P68" s="4">
        <f t="shared" si="14"/>
        <v>173446.78950000001</v>
      </c>
      <c r="Q68" s="4">
        <f t="shared" si="14"/>
        <v>173446.78950000001</v>
      </c>
      <c r="R68" s="4">
        <f t="shared" si="14"/>
        <v>173446.78950000001</v>
      </c>
      <c r="S68" s="4">
        <f t="shared" si="14"/>
        <v>173446.78950000001</v>
      </c>
      <c r="T68" s="4">
        <f t="shared" si="14"/>
        <v>173446.78950000001</v>
      </c>
      <c r="U68" s="4">
        <f t="shared" si="14"/>
        <v>173446.78950000001</v>
      </c>
      <c r="V68" s="4">
        <f t="shared" si="14"/>
        <v>173446.78950000001</v>
      </c>
      <c r="W68" s="4">
        <f t="shared" si="14"/>
        <v>173446.78950000001</v>
      </c>
      <c r="X68" s="4">
        <f t="shared" si="14"/>
        <v>173446.78950000001</v>
      </c>
      <c r="Y68" s="4">
        <f t="shared" si="14"/>
        <v>173446.78950000001</v>
      </c>
      <c r="Z68" s="4">
        <f t="shared" si="10"/>
        <v>3789886.8005999993</v>
      </c>
    </row>
  </sheetData>
  <phoneticPr fontId="4" type="noConversion"/>
  <printOptions horizontalCentered="1"/>
  <pageMargins left="0.25" right="0.25" top="1" bottom="1" header="0.5" footer="0.5"/>
  <pageSetup paperSize="8" fitToWidth="2" fitToHeight="0" orientation="landscape"/>
  <headerFooter>
    <oddFooter>&amp;CBlocky Studio | 规划预算 | &amp;P / &amp;N</oddFooter>
  </headerFooter>
  <rowBreaks count="2" manualBreakCount="2">
    <brk id="25" max="16383" man="1"/>
    <brk id="50" max="16383" man="1"/>
  </rowBreaks>
  <colBreaks count="1" manualBreakCount="1">
    <brk id="13" max="1638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3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3.5"/>
  <cols>
    <col min="1" max="1" width="39" customWidth="1"/>
    <col min="2" max="26" width="13" customWidth="1"/>
  </cols>
  <sheetData>
    <row r="1" spans="1:26" ht="18">
      <c r="A1" s="6" t="s">
        <v>2</v>
      </c>
    </row>
    <row r="2" spans="1:26" ht="33">
      <c r="A2" s="1" t="s">
        <v>104</v>
      </c>
      <c r="B2" s="11">
        <f>EDATE(Assumptions!$B$3,0)</f>
        <v>46327</v>
      </c>
      <c r="C2" s="11">
        <f>EDATE(Assumptions!$B$3,1)</f>
        <v>46357</v>
      </c>
      <c r="D2" s="11">
        <f>EDATE(Assumptions!$B$3,2)</f>
        <v>46388</v>
      </c>
      <c r="E2" s="11">
        <f>EDATE(Assumptions!$B$3,3)</f>
        <v>46419</v>
      </c>
      <c r="F2" s="11">
        <f>EDATE(Assumptions!$B$3,4)</f>
        <v>46447</v>
      </c>
      <c r="G2" s="11">
        <f>EDATE(Assumptions!$B$3,5)</f>
        <v>46478</v>
      </c>
      <c r="H2" s="11">
        <f>EDATE(Assumptions!$B$3,6)</f>
        <v>46508</v>
      </c>
      <c r="I2" s="11">
        <f>EDATE(Assumptions!$B$3,7)</f>
        <v>46539</v>
      </c>
      <c r="J2" s="11">
        <f>EDATE(Assumptions!$B$3,8)</f>
        <v>46569</v>
      </c>
      <c r="K2" s="11">
        <f>EDATE(Assumptions!$B$3,9)</f>
        <v>46600</v>
      </c>
      <c r="L2" s="11">
        <f>EDATE(Assumptions!$B$3,10)</f>
        <v>46631</v>
      </c>
      <c r="M2" s="11">
        <f>EDATE(Assumptions!$B$3,11)</f>
        <v>46661</v>
      </c>
      <c r="N2" s="11">
        <f>EDATE(Assumptions!$B$3,12)</f>
        <v>46692</v>
      </c>
      <c r="O2" s="11">
        <f>EDATE(Assumptions!$B$3,13)</f>
        <v>46722</v>
      </c>
      <c r="P2" s="11">
        <f>EDATE(Assumptions!$B$3,14)</f>
        <v>46753</v>
      </c>
      <c r="Q2" s="11">
        <f>EDATE(Assumptions!$B$3,15)</f>
        <v>46784</v>
      </c>
      <c r="R2" s="11">
        <f>EDATE(Assumptions!$B$3,16)</f>
        <v>46813</v>
      </c>
      <c r="S2" s="11">
        <f>EDATE(Assumptions!$B$3,17)</f>
        <v>46844</v>
      </c>
      <c r="T2" s="11">
        <f>EDATE(Assumptions!$B$3,18)</f>
        <v>46874</v>
      </c>
      <c r="U2" s="11">
        <f>EDATE(Assumptions!$B$3,19)</f>
        <v>46905</v>
      </c>
      <c r="V2" s="11">
        <f>EDATE(Assumptions!$B$3,20)</f>
        <v>46935</v>
      </c>
      <c r="W2" s="11">
        <f>EDATE(Assumptions!$B$3,21)</f>
        <v>46966</v>
      </c>
      <c r="X2" s="11">
        <f>EDATE(Assumptions!$B$3,22)</f>
        <v>46997</v>
      </c>
      <c r="Y2" s="11">
        <f>EDATE(Assumptions!$B$3,23)</f>
        <v>47027</v>
      </c>
      <c r="Z2" s="1" t="s">
        <v>105</v>
      </c>
    </row>
    <row r="3" spans="1:26" ht="16.5">
      <c r="A3" s="1" t="s">
        <v>122</v>
      </c>
      <c r="B3" s="4">
        <f>Cohorts!B10</f>
        <v>0</v>
      </c>
      <c r="C3" s="4">
        <f>Cohorts!C10</f>
        <v>0</v>
      </c>
      <c r="D3" s="4">
        <f>Cohorts!D10</f>
        <v>0</v>
      </c>
      <c r="E3" s="4">
        <f>Cohorts!E10</f>
        <v>0</v>
      </c>
      <c r="F3" s="4">
        <f>Cohorts!F10</f>
        <v>0</v>
      </c>
      <c r="G3" s="4">
        <f>Cohorts!G10</f>
        <v>0</v>
      </c>
      <c r="H3" s="4">
        <f>Cohorts!H10</f>
        <v>0</v>
      </c>
      <c r="I3" s="4">
        <f>Cohorts!I10</f>
        <v>0</v>
      </c>
      <c r="J3" s="4">
        <f>Cohorts!J10</f>
        <v>0</v>
      </c>
      <c r="K3" s="4">
        <f>Cohorts!K10</f>
        <v>0</v>
      </c>
      <c r="L3" s="4">
        <f>Cohorts!L10</f>
        <v>0</v>
      </c>
      <c r="M3" s="4">
        <f>Cohorts!M10</f>
        <v>0</v>
      </c>
      <c r="N3" s="4">
        <f>Cohorts!N10</f>
        <v>0</v>
      </c>
      <c r="O3" s="4">
        <f>Cohorts!O10</f>
        <v>0</v>
      </c>
      <c r="P3" s="4">
        <f>Cohorts!P10</f>
        <v>0</v>
      </c>
      <c r="Q3" s="4">
        <f>Cohorts!Q10</f>
        <v>0</v>
      </c>
      <c r="R3" s="4">
        <f>Cohorts!R10</f>
        <v>0</v>
      </c>
      <c r="S3" s="4">
        <f>Cohorts!S10</f>
        <v>0</v>
      </c>
      <c r="T3" s="4">
        <f>Cohorts!T10</f>
        <v>101575.052088</v>
      </c>
      <c r="U3" s="4">
        <f>Cohorts!U10</f>
        <v>101575.052088</v>
      </c>
      <c r="V3" s="4">
        <f>Cohorts!V10</f>
        <v>101575.052088</v>
      </c>
      <c r="W3" s="4">
        <f>Cohorts!W10</f>
        <v>203028.20371199999</v>
      </c>
      <c r="X3" s="4">
        <f>Cohorts!X10</f>
        <v>203028.20371199999</v>
      </c>
      <c r="Y3" s="4">
        <f>Cohorts!Y10</f>
        <v>203028.20371199999</v>
      </c>
      <c r="Z3" s="4">
        <f>SUM(B3:Y3)</f>
        <v>913809.76740000001</v>
      </c>
    </row>
    <row r="4" spans="1:26" ht="16.5">
      <c r="A4" s="1" t="s">
        <v>130</v>
      </c>
      <c r="B4" s="4">
        <f>B3*Assumptions!$B$5</f>
        <v>0</v>
      </c>
      <c r="C4" s="4">
        <f>C3*Assumptions!$B$5</f>
        <v>0</v>
      </c>
      <c r="D4" s="4">
        <f>D3*Assumptions!$B$5</f>
        <v>0</v>
      </c>
      <c r="E4" s="4">
        <f>E3*Assumptions!$B$5</f>
        <v>0</v>
      </c>
      <c r="F4" s="4">
        <f>F3*Assumptions!$B$5</f>
        <v>0</v>
      </c>
      <c r="G4" s="4">
        <f>G3*Assumptions!$B$5</f>
        <v>0</v>
      </c>
      <c r="H4" s="4">
        <f>H3*Assumptions!$B$5</f>
        <v>0</v>
      </c>
      <c r="I4" s="4">
        <f>I3*Assumptions!$B$5</f>
        <v>0</v>
      </c>
      <c r="J4" s="4">
        <f>J3*Assumptions!$B$5</f>
        <v>0</v>
      </c>
      <c r="K4" s="4">
        <f>K3*Assumptions!$B$5</f>
        <v>0</v>
      </c>
      <c r="L4" s="4">
        <f>L3*Assumptions!$B$5</f>
        <v>0</v>
      </c>
      <c r="M4" s="4">
        <f>M3*Assumptions!$B$5</f>
        <v>0</v>
      </c>
      <c r="N4" s="4">
        <f>N3*Assumptions!$B$5</f>
        <v>0</v>
      </c>
      <c r="O4" s="4">
        <f>O3*Assumptions!$B$5</f>
        <v>0</v>
      </c>
      <c r="P4" s="4">
        <f>P3*Assumptions!$B$5</f>
        <v>0</v>
      </c>
      <c r="Q4" s="4">
        <f>Q3*Assumptions!$B$5</f>
        <v>0</v>
      </c>
      <c r="R4" s="4">
        <f>R3*Assumptions!$B$5</f>
        <v>0</v>
      </c>
      <c r="S4" s="4">
        <f>S3*Assumptions!$B$5</f>
        <v>0</v>
      </c>
      <c r="T4" s="4">
        <f>T3*Assumptions!$B$5</f>
        <v>0</v>
      </c>
      <c r="U4" s="4">
        <f>U3*Assumptions!$B$5</f>
        <v>0</v>
      </c>
      <c r="V4" s="4">
        <f>V3*Assumptions!$B$5</f>
        <v>0</v>
      </c>
      <c r="W4" s="4">
        <f>W3*Assumptions!$B$5</f>
        <v>0</v>
      </c>
      <c r="X4" s="4">
        <f>X3*Assumptions!$B$5</f>
        <v>0</v>
      </c>
      <c r="Y4" s="4">
        <f>Y3*Assumptions!$B$5</f>
        <v>0</v>
      </c>
      <c r="Z4" s="4">
        <f>SUM(B4:Y4)</f>
        <v>0</v>
      </c>
    </row>
    <row r="5" spans="1:26" ht="16.5">
      <c r="A5" s="1" t="s">
        <v>131</v>
      </c>
      <c r="B5" s="4">
        <f>IF(1&gt;Assumptions!$B$6,INDEX($B$4:$Y$4,1,1-Assumptions!$B$6),0)</f>
        <v>0</v>
      </c>
      <c r="C5" s="4">
        <f>IF(2&gt;Assumptions!$B$6,INDEX($B$4:$Y$4,1,2-Assumptions!$B$6),0)</f>
        <v>0</v>
      </c>
      <c r="D5" s="4">
        <f>IF(3&gt;Assumptions!$B$6,INDEX($B$4:$Y$4,1,3-Assumptions!$B$6),0)</f>
        <v>0</v>
      </c>
      <c r="E5" s="4">
        <f>IF(4&gt;Assumptions!$B$6,INDEX($B$4:$Y$4,1,4-Assumptions!$B$6),0)</f>
        <v>0</v>
      </c>
      <c r="F5" s="4">
        <f>IF(5&gt;Assumptions!$B$6,INDEX($B$4:$Y$4,1,5-Assumptions!$B$6),0)</f>
        <v>0</v>
      </c>
      <c r="G5" s="4">
        <f>IF(6&gt;Assumptions!$B$6,INDEX($B$4:$Y$4,1,6-Assumptions!$B$6),0)</f>
        <v>0</v>
      </c>
      <c r="H5" s="4">
        <f>IF(7&gt;Assumptions!$B$6,INDEX($B$4:$Y$4,1,7-Assumptions!$B$6),0)</f>
        <v>0</v>
      </c>
      <c r="I5" s="4">
        <f>IF(8&gt;Assumptions!$B$6,INDEX($B$4:$Y$4,1,8-Assumptions!$B$6),0)</f>
        <v>0</v>
      </c>
      <c r="J5" s="4">
        <f>IF(9&gt;Assumptions!$B$6,INDEX($B$4:$Y$4,1,9-Assumptions!$B$6),0)</f>
        <v>0</v>
      </c>
      <c r="K5" s="4">
        <f>IF(10&gt;Assumptions!$B$6,INDEX($B$4:$Y$4,1,10-Assumptions!$B$6),0)</f>
        <v>0</v>
      </c>
      <c r="L5" s="4">
        <f>IF(11&gt;Assumptions!$B$6,INDEX($B$4:$Y$4,1,11-Assumptions!$B$6),0)</f>
        <v>0</v>
      </c>
      <c r="M5" s="4">
        <f>IF(12&gt;Assumptions!$B$6,INDEX($B$4:$Y$4,1,12-Assumptions!$B$6),0)</f>
        <v>0</v>
      </c>
      <c r="N5" s="4">
        <f>IF(13&gt;Assumptions!$B$6,INDEX($B$4:$Y$4,1,13-Assumptions!$B$6),0)</f>
        <v>0</v>
      </c>
      <c r="O5" s="4">
        <f>IF(14&gt;Assumptions!$B$6,INDEX($B$4:$Y$4,1,14-Assumptions!$B$6),0)</f>
        <v>0</v>
      </c>
      <c r="P5" s="4">
        <f>IF(15&gt;Assumptions!$B$6,INDEX($B$4:$Y$4,1,15-Assumptions!$B$6),0)</f>
        <v>0</v>
      </c>
      <c r="Q5" s="4">
        <f>IF(16&gt;Assumptions!$B$6,INDEX($B$4:$Y$4,1,16-Assumptions!$B$6),0)</f>
        <v>0</v>
      </c>
      <c r="R5" s="4">
        <f>IF(17&gt;Assumptions!$B$6,INDEX($B$4:$Y$4,1,17-Assumptions!$B$6),0)</f>
        <v>0</v>
      </c>
      <c r="S5" s="4">
        <f>IF(18&gt;Assumptions!$B$6,INDEX($B$4:$Y$4,1,18-Assumptions!$B$6),0)</f>
        <v>0</v>
      </c>
      <c r="T5" s="4">
        <f>IF(19&gt;Assumptions!$B$6,INDEX($B$4:$Y$4,1,19-Assumptions!$B$6),0)</f>
        <v>0</v>
      </c>
      <c r="U5" s="4">
        <f>IF(20&gt;Assumptions!$B$6,INDEX($B$4:$Y$4,1,20-Assumptions!$B$6),0)</f>
        <v>0</v>
      </c>
      <c r="V5" s="4">
        <f>IF(21&gt;Assumptions!$B$6,INDEX($B$4:$Y$4,1,21-Assumptions!$B$6),0)</f>
        <v>0</v>
      </c>
      <c r="W5" s="4">
        <f>IF(22&gt;Assumptions!$B$6,INDEX($B$4:$Y$4,1,22-Assumptions!$B$6),0)</f>
        <v>0</v>
      </c>
      <c r="X5" s="4">
        <f>IF(23&gt;Assumptions!$B$6,INDEX($B$4:$Y$4,1,23-Assumptions!$B$6),0)</f>
        <v>0</v>
      </c>
      <c r="Y5" s="4">
        <f>IF(24&gt;Assumptions!$B$6,INDEX($B$4:$Y$4,1,24-Assumptions!$B$6),0)</f>
        <v>0</v>
      </c>
      <c r="Z5" s="4">
        <f>SUM(B5:Y5)</f>
        <v>0</v>
      </c>
    </row>
    <row r="6" spans="1:26" ht="16.5">
      <c r="A6" s="1" t="s">
        <v>132</v>
      </c>
      <c r="B6" s="4">
        <f>SUM($B4:B4)-SUM($B5:B5)</f>
        <v>0</v>
      </c>
      <c r="C6" s="4">
        <f>SUM($B4:C4)-SUM($B5:C5)</f>
        <v>0</v>
      </c>
      <c r="D6" s="4">
        <f>SUM($B4:D4)-SUM($B5:D5)</f>
        <v>0</v>
      </c>
      <c r="E6" s="4">
        <f>SUM($B4:E4)-SUM($B5:E5)</f>
        <v>0</v>
      </c>
      <c r="F6" s="4">
        <f>SUM($B4:F4)-SUM($B5:F5)</f>
        <v>0</v>
      </c>
      <c r="G6" s="4">
        <f>SUM($B4:G4)-SUM($B5:G5)</f>
        <v>0</v>
      </c>
      <c r="H6" s="4">
        <f>SUM($B4:H4)-SUM($B5:H5)</f>
        <v>0</v>
      </c>
      <c r="I6" s="4">
        <f>SUM($B4:I4)-SUM($B5:I5)</f>
        <v>0</v>
      </c>
      <c r="J6" s="4">
        <f>SUM($B4:J4)-SUM($B5:J5)</f>
        <v>0</v>
      </c>
      <c r="K6" s="4">
        <f>SUM($B4:K4)-SUM($B5:K5)</f>
        <v>0</v>
      </c>
      <c r="L6" s="4">
        <f>SUM($B4:L4)-SUM($B5:L5)</f>
        <v>0</v>
      </c>
      <c r="M6" s="4">
        <f>SUM($B4:M4)-SUM($B5:M5)</f>
        <v>0</v>
      </c>
      <c r="N6" s="4">
        <f>SUM($B4:N4)-SUM($B5:N5)</f>
        <v>0</v>
      </c>
      <c r="O6" s="4">
        <f>SUM($B4:O4)-SUM($B5:O5)</f>
        <v>0</v>
      </c>
      <c r="P6" s="4">
        <f>SUM($B4:P4)-SUM($B5:P5)</f>
        <v>0</v>
      </c>
      <c r="Q6" s="4">
        <f>SUM($B4:Q4)-SUM($B5:Q5)</f>
        <v>0</v>
      </c>
      <c r="R6" s="4">
        <f>SUM($B4:R4)-SUM($B5:R5)</f>
        <v>0</v>
      </c>
      <c r="S6" s="4">
        <f>SUM($B4:S4)-SUM($B5:S5)</f>
        <v>0</v>
      </c>
      <c r="T6" s="4">
        <f>SUM($B4:T4)-SUM($B5:T5)</f>
        <v>0</v>
      </c>
      <c r="U6" s="4">
        <f>SUM($B4:U4)-SUM($B5:U5)</f>
        <v>0</v>
      </c>
      <c r="V6" s="4">
        <f>SUM($B4:V4)-SUM($B5:V5)</f>
        <v>0</v>
      </c>
      <c r="W6" s="4">
        <f>SUM($B4:W4)-SUM($B5:W5)</f>
        <v>0</v>
      </c>
      <c r="X6" s="4">
        <f>SUM($B4:X4)-SUM($B5:X5)</f>
        <v>0</v>
      </c>
      <c r="Y6" s="4">
        <f>SUM($B4:Y4)-SUM($B5:Y5)</f>
        <v>0</v>
      </c>
      <c r="Z6" s="4">
        <f>Y6</f>
        <v>0</v>
      </c>
    </row>
    <row r="13" spans="1:26" ht="18">
      <c r="A13" s="6" t="s">
        <v>3</v>
      </c>
    </row>
    <row r="14" spans="1:26" ht="33">
      <c r="A14" s="1" t="s">
        <v>104</v>
      </c>
      <c r="B14" s="11">
        <f>EDATE(Assumptions!$B$3,0)</f>
        <v>46327</v>
      </c>
      <c r="C14" s="11">
        <f>EDATE(Assumptions!$B$3,1)</f>
        <v>46357</v>
      </c>
      <c r="D14" s="11">
        <f>EDATE(Assumptions!$B$3,2)</f>
        <v>46388</v>
      </c>
      <c r="E14" s="11">
        <f>EDATE(Assumptions!$B$3,3)</f>
        <v>46419</v>
      </c>
      <c r="F14" s="11">
        <f>EDATE(Assumptions!$B$3,4)</f>
        <v>46447</v>
      </c>
      <c r="G14" s="11">
        <f>EDATE(Assumptions!$B$3,5)</f>
        <v>46478</v>
      </c>
      <c r="H14" s="11">
        <f>EDATE(Assumptions!$B$3,6)</f>
        <v>46508</v>
      </c>
      <c r="I14" s="11">
        <f>EDATE(Assumptions!$B$3,7)</f>
        <v>46539</v>
      </c>
      <c r="J14" s="11">
        <f>EDATE(Assumptions!$B$3,8)</f>
        <v>46569</v>
      </c>
      <c r="K14" s="11">
        <f>EDATE(Assumptions!$B$3,9)</f>
        <v>46600</v>
      </c>
      <c r="L14" s="11">
        <f>EDATE(Assumptions!$B$3,10)</f>
        <v>46631</v>
      </c>
      <c r="M14" s="11">
        <f>EDATE(Assumptions!$B$3,11)</f>
        <v>46661</v>
      </c>
      <c r="N14" s="11">
        <f>EDATE(Assumptions!$B$3,12)</f>
        <v>46692</v>
      </c>
      <c r="O14" s="11">
        <f>EDATE(Assumptions!$B$3,13)</f>
        <v>46722</v>
      </c>
      <c r="P14" s="11">
        <f>EDATE(Assumptions!$B$3,14)</f>
        <v>46753</v>
      </c>
      <c r="Q14" s="11">
        <f>EDATE(Assumptions!$B$3,15)</f>
        <v>46784</v>
      </c>
      <c r="R14" s="11">
        <f>EDATE(Assumptions!$B$3,16)</f>
        <v>46813</v>
      </c>
      <c r="S14" s="11">
        <f>EDATE(Assumptions!$B$3,17)</f>
        <v>46844</v>
      </c>
      <c r="T14" s="11">
        <f>EDATE(Assumptions!$B$3,18)</f>
        <v>46874</v>
      </c>
      <c r="U14" s="11">
        <f>EDATE(Assumptions!$B$3,19)</f>
        <v>46905</v>
      </c>
      <c r="V14" s="11">
        <f>EDATE(Assumptions!$B$3,20)</f>
        <v>46935</v>
      </c>
      <c r="W14" s="11">
        <f>EDATE(Assumptions!$B$3,21)</f>
        <v>46966</v>
      </c>
      <c r="X14" s="11">
        <f>EDATE(Assumptions!$B$3,22)</f>
        <v>46997</v>
      </c>
      <c r="Y14" s="11">
        <f>EDATE(Assumptions!$B$3,23)</f>
        <v>47027</v>
      </c>
      <c r="Z14" s="1" t="s">
        <v>105</v>
      </c>
    </row>
    <row r="15" spans="1:26" ht="16.5">
      <c r="A15" s="1" t="s">
        <v>122</v>
      </c>
      <c r="B15" s="4">
        <f>Cohorts!B24</f>
        <v>0</v>
      </c>
      <c r="C15" s="4">
        <f>Cohorts!C24</f>
        <v>0</v>
      </c>
      <c r="D15" s="4">
        <f>Cohorts!D24</f>
        <v>0</v>
      </c>
      <c r="E15" s="4">
        <f>Cohorts!E24</f>
        <v>0</v>
      </c>
      <c r="F15" s="4">
        <f>Cohorts!F24</f>
        <v>0</v>
      </c>
      <c r="G15" s="4">
        <f>Cohorts!G24</f>
        <v>0</v>
      </c>
      <c r="H15" s="4">
        <f>Cohorts!H24</f>
        <v>0</v>
      </c>
      <c r="I15" s="4">
        <f>Cohorts!I24</f>
        <v>0</v>
      </c>
      <c r="J15" s="4">
        <f>Cohorts!J24</f>
        <v>0</v>
      </c>
      <c r="K15" s="4">
        <f>Cohorts!K24</f>
        <v>0</v>
      </c>
      <c r="L15" s="4">
        <f>Cohorts!L24</f>
        <v>0</v>
      </c>
      <c r="M15" s="4">
        <f>Cohorts!M24</f>
        <v>0</v>
      </c>
      <c r="N15" s="4">
        <f>Cohorts!N24</f>
        <v>0</v>
      </c>
      <c r="O15" s="4">
        <f>Cohorts!O24</f>
        <v>0</v>
      </c>
      <c r="P15" s="4">
        <f>Cohorts!P24</f>
        <v>0</v>
      </c>
      <c r="Q15" s="4">
        <f>Cohorts!Q24</f>
        <v>0</v>
      </c>
      <c r="R15" s="4">
        <f>Cohorts!R24</f>
        <v>0</v>
      </c>
      <c r="S15" s="4">
        <f>Cohorts!S24</f>
        <v>0</v>
      </c>
      <c r="T15" s="4">
        <f>Cohorts!T24</f>
        <v>338583.50696000003</v>
      </c>
      <c r="U15" s="4">
        <f>Cohorts!U24</f>
        <v>338583.50696000003</v>
      </c>
      <c r="V15" s="4">
        <f>Cohorts!V24</f>
        <v>338583.50696000003</v>
      </c>
      <c r="W15" s="4">
        <f>Cohorts!W24</f>
        <v>676760.67903999996</v>
      </c>
      <c r="X15" s="4">
        <f>Cohorts!X24</f>
        <v>676760.67903999996</v>
      </c>
      <c r="Y15" s="4">
        <f>Cohorts!Y24</f>
        <v>676760.67903999996</v>
      </c>
      <c r="Z15" s="4">
        <f>SUM(B15:Y15)</f>
        <v>3046032.5579999997</v>
      </c>
    </row>
    <row r="16" spans="1:26" ht="16.5">
      <c r="A16" s="1" t="s">
        <v>130</v>
      </c>
      <c r="B16" s="4">
        <f>B15*Assumptions!$B$5</f>
        <v>0</v>
      </c>
      <c r="C16" s="4">
        <f>C15*Assumptions!$B$5</f>
        <v>0</v>
      </c>
      <c r="D16" s="4">
        <f>D15*Assumptions!$B$5</f>
        <v>0</v>
      </c>
      <c r="E16" s="4">
        <f>E15*Assumptions!$B$5</f>
        <v>0</v>
      </c>
      <c r="F16" s="4">
        <f>F15*Assumptions!$B$5</f>
        <v>0</v>
      </c>
      <c r="G16" s="4">
        <f>G15*Assumptions!$B$5</f>
        <v>0</v>
      </c>
      <c r="H16" s="4">
        <f>H15*Assumptions!$B$5</f>
        <v>0</v>
      </c>
      <c r="I16" s="4">
        <f>I15*Assumptions!$B$5</f>
        <v>0</v>
      </c>
      <c r="J16" s="4">
        <f>J15*Assumptions!$B$5</f>
        <v>0</v>
      </c>
      <c r="K16" s="4">
        <f>K15*Assumptions!$B$5</f>
        <v>0</v>
      </c>
      <c r="L16" s="4">
        <f>L15*Assumptions!$B$5</f>
        <v>0</v>
      </c>
      <c r="M16" s="4">
        <f>M15*Assumptions!$B$5</f>
        <v>0</v>
      </c>
      <c r="N16" s="4">
        <f>N15*Assumptions!$B$5</f>
        <v>0</v>
      </c>
      <c r="O16" s="4">
        <f>O15*Assumptions!$B$5</f>
        <v>0</v>
      </c>
      <c r="P16" s="4">
        <f>P15*Assumptions!$B$5</f>
        <v>0</v>
      </c>
      <c r="Q16" s="4">
        <f>Q15*Assumptions!$B$5</f>
        <v>0</v>
      </c>
      <c r="R16" s="4">
        <f>R15*Assumptions!$B$5</f>
        <v>0</v>
      </c>
      <c r="S16" s="4">
        <f>S15*Assumptions!$B$5</f>
        <v>0</v>
      </c>
      <c r="T16" s="4">
        <f>T15*Assumptions!$B$5</f>
        <v>0</v>
      </c>
      <c r="U16" s="4">
        <f>U15*Assumptions!$B$5</f>
        <v>0</v>
      </c>
      <c r="V16" s="4">
        <f>V15*Assumptions!$B$5</f>
        <v>0</v>
      </c>
      <c r="W16" s="4">
        <f>W15*Assumptions!$B$5</f>
        <v>0</v>
      </c>
      <c r="X16" s="4">
        <f>X15*Assumptions!$B$5</f>
        <v>0</v>
      </c>
      <c r="Y16" s="4">
        <f>Y15*Assumptions!$B$5</f>
        <v>0</v>
      </c>
      <c r="Z16" s="4">
        <f>SUM(B16:Y16)</f>
        <v>0</v>
      </c>
    </row>
    <row r="17" spans="1:26" ht="16.5">
      <c r="A17" s="1" t="s">
        <v>131</v>
      </c>
      <c r="B17" s="4">
        <f>IF(1&gt;Assumptions!$B$6,INDEX($B$16:$Y$16,1,1-Assumptions!$B$6),0)</f>
        <v>0</v>
      </c>
      <c r="C17" s="4">
        <f>IF(2&gt;Assumptions!$B$6,INDEX($B$16:$Y$16,1,2-Assumptions!$B$6),0)</f>
        <v>0</v>
      </c>
      <c r="D17" s="4">
        <f>IF(3&gt;Assumptions!$B$6,INDEX($B$16:$Y$16,1,3-Assumptions!$B$6),0)</f>
        <v>0</v>
      </c>
      <c r="E17" s="4">
        <f>IF(4&gt;Assumptions!$B$6,INDEX($B$16:$Y$16,1,4-Assumptions!$B$6),0)</f>
        <v>0</v>
      </c>
      <c r="F17" s="4">
        <f>IF(5&gt;Assumptions!$B$6,INDEX($B$16:$Y$16,1,5-Assumptions!$B$6),0)</f>
        <v>0</v>
      </c>
      <c r="G17" s="4">
        <f>IF(6&gt;Assumptions!$B$6,INDEX($B$16:$Y$16,1,6-Assumptions!$B$6),0)</f>
        <v>0</v>
      </c>
      <c r="H17" s="4">
        <f>IF(7&gt;Assumptions!$B$6,INDEX($B$16:$Y$16,1,7-Assumptions!$B$6),0)</f>
        <v>0</v>
      </c>
      <c r="I17" s="4">
        <f>IF(8&gt;Assumptions!$B$6,INDEX($B$16:$Y$16,1,8-Assumptions!$B$6),0)</f>
        <v>0</v>
      </c>
      <c r="J17" s="4">
        <f>IF(9&gt;Assumptions!$B$6,INDEX($B$16:$Y$16,1,9-Assumptions!$B$6),0)</f>
        <v>0</v>
      </c>
      <c r="K17" s="4">
        <f>IF(10&gt;Assumptions!$B$6,INDEX($B$16:$Y$16,1,10-Assumptions!$B$6),0)</f>
        <v>0</v>
      </c>
      <c r="L17" s="4">
        <f>IF(11&gt;Assumptions!$B$6,INDEX($B$16:$Y$16,1,11-Assumptions!$B$6),0)</f>
        <v>0</v>
      </c>
      <c r="M17" s="4">
        <f>IF(12&gt;Assumptions!$B$6,INDEX($B$16:$Y$16,1,12-Assumptions!$B$6),0)</f>
        <v>0</v>
      </c>
      <c r="N17" s="4">
        <f>IF(13&gt;Assumptions!$B$6,INDEX($B$16:$Y$16,1,13-Assumptions!$B$6),0)</f>
        <v>0</v>
      </c>
      <c r="O17" s="4">
        <f>IF(14&gt;Assumptions!$B$6,INDEX($B$16:$Y$16,1,14-Assumptions!$B$6),0)</f>
        <v>0</v>
      </c>
      <c r="P17" s="4">
        <f>IF(15&gt;Assumptions!$B$6,INDEX($B$16:$Y$16,1,15-Assumptions!$B$6),0)</f>
        <v>0</v>
      </c>
      <c r="Q17" s="4">
        <f>IF(16&gt;Assumptions!$B$6,INDEX($B$16:$Y$16,1,16-Assumptions!$B$6),0)</f>
        <v>0</v>
      </c>
      <c r="R17" s="4">
        <f>IF(17&gt;Assumptions!$B$6,INDEX($B$16:$Y$16,1,17-Assumptions!$B$6),0)</f>
        <v>0</v>
      </c>
      <c r="S17" s="4">
        <f>IF(18&gt;Assumptions!$B$6,INDEX($B$16:$Y$16,1,18-Assumptions!$B$6),0)</f>
        <v>0</v>
      </c>
      <c r="T17" s="4">
        <f>IF(19&gt;Assumptions!$B$6,INDEX($B$16:$Y$16,1,19-Assumptions!$B$6),0)</f>
        <v>0</v>
      </c>
      <c r="U17" s="4">
        <f>IF(20&gt;Assumptions!$B$6,INDEX($B$16:$Y$16,1,20-Assumptions!$B$6),0)</f>
        <v>0</v>
      </c>
      <c r="V17" s="4">
        <f>IF(21&gt;Assumptions!$B$6,INDEX($B$16:$Y$16,1,21-Assumptions!$B$6),0)</f>
        <v>0</v>
      </c>
      <c r="W17" s="4">
        <f>IF(22&gt;Assumptions!$B$6,INDEX($B$16:$Y$16,1,22-Assumptions!$B$6),0)</f>
        <v>0</v>
      </c>
      <c r="X17" s="4">
        <f>IF(23&gt;Assumptions!$B$6,INDEX($B$16:$Y$16,1,23-Assumptions!$B$6),0)</f>
        <v>0</v>
      </c>
      <c r="Y17" s="4">
        <f>IF(24&gt;Assumptions!$B$6,INDEX($B$16:$Y$16,1,24-Assumptions!$B$6),0)</f>
        <v>0</v>
      </c>
      <c r="Z17" s="4">
        <f>SUM(B17:Y17)</f>
        <v>0</v>
      </c>
    </row>
    <row r="18" spans="1:26" ht="16.5">
      <c r="A18" s="1" t="s">
        <v>132</v>
      </c>
      <c r="B18" s="4">
        <f>SUM($B16:B16)-SUM($B17:B17)</f>
        <v>0</v>
      </c>
      <c r="C18" s="4">
        <f>SUM($B16:C16)-SUM($B17:C17)</f>
        <v>0</v>
      </c>
      <c r="D18" s="4">
        <f>SUM($B16:D16)-SUM($B17:D17)</f>
        <v>0</v>
      </c>
      <c r="E18" s="4">
        <f>SUM($B16:E16)-SUM($B17:E17)</f>
        <v>0</v>
      </c>
      <c r="F18" s="4">
        <f>SUM($B16:F16)-SUM($B17:F17)</f>
        <v>0</v>
      </c>
      <c r="G18" s="4">
        <f>SUM($B16:G16)-SUM($B17:G17)</f>
        <v>0</v>
      </c>
      <c r="H18" s="4">
        <f>SUM($B16:H16)-SUM($B17:H17)</f>
        <v>0</v>
      </c>
      <c r="I18" s="4">
        <f>SUM($B16:I16)-SUM($B17:I17)</f>
        <v>0</v>
      </c>
      <c r="J18" s="4">
        <f>SUM($B16:J16)-SUM($B17:J17)</f>
        <v>0</v>
      </c>
      <c r="K18" s="4">
        <f>SUM($B16:K16)-SUM($B17:K17)</f>
        <v>0</v>
      </c>
      <c r="L18" s="4">
        <f>SUM($B16:L16)-SUM($B17:L17)</f>
        <v>0</v>
      </c>
      <c r="M18" s="4">
        <f>SUM($B16:M16)-SUM($B17:M17)</f>
        <v>0</v>
      </c>
      <c r="N18" s="4">
        <f>SUM($B16:N16)-SUM($B17:N17)</f>
        <v>0</v>
      </c>
      <c r="O18" s="4">
        <f>SUM($B16:O16)-SUM($B17:O17)</f>
        <v>0</v>
      </c>
      <c r="P18" s="4">
        <f>SUM($B16:P16)-SUM($B17:P17)</f>
        <v>0</v>
      </c>
      <c r="Q18" s="4">
        <f>SUM($B16:Q16)-SUM($B17:Q17)</f>
        <v>0</v>
      </c>
      <c r="R18" s="4">
        <f>SUM($B16:R16)-SUM($B17:R17)</f>
        <v>0</v>
      </c>
      <c r="S18" s="4">
        <f>SUM($B16:S16)-SUM($B17:S17)</f>
        <v>0</v>
      </c>
      <c r="T18" s="4">
        <f>SUM($B16:T16)-SUM($B17:T17)</f>
        <v>0</v>
      </c>
      <c r="U18" s="4">
        <f>SUM($B16:U16)-SUM($B17:U17)</f>
        <v>0</v>
      </c>
      <c r="V18" s="4">
        <f>SUM($B16:V16)-SUM($B17:V17)</f>
        <v>0</v>
      </c>
      <c r="W18" s="4">
        <f>SUM($B16:W16)-SUM($B17:W17)</f>
        <v>0</v>
      </c>
      <c r="X18" s="4">
        <f>SUM($B16:X16)-SUM($B17:X17)</f>
        <v>0</v>
      </c>
      <c r="Y18" s="4">
        <f>SUM($B16:Y16)-SUM($B17:Y17)</f>
        <v>0</v>
      </c>
      <c r="Z18" s="4">
        <f>Y18</f>
        <v>0</v>
      </c>
    </row>
    <row r="25" spans="1:26" ht="18">
      <c r="A25" s="6" t="s">
        <v>4</v>
      </c>
    </row>
    <row r="26" spans="1:26" ht="33">
      <c r="A26" s="1" t="s">
        <v>104</v>
      </c>
      <c r="B26" s="11">
        <f>EDATE(Assumptions!$B$3,0)</f>
        <v>46327</v>
      </c>
      <c r="C26" s="11">
        <f>EDATE(Assumptions!$B$3,1)</f>
        <v>46357</v>
      </c>
      <c r="D26" s="11">
        <f>EDATE(Assumptions!$B$3,2)</f>
        <v>46388</v>
      </c>
      <c r="E26" s="11">
        <f>EDATE(Assumptions!$B$3,3)</f>
        <v>46419</v>
      </c>
      <c r="F26" s="11">
        <f>EDATE(Assumptions!$B$3,4)</f>
        <v>46447</v>
      </c>
      <c r="G26" s="11">
        <f>EDATE(Assumptions!$B$3,5)</f>
        <v>46478</v>
      </c>
      <c r="H26" s="11">
        <f>EDATE(Assumptions!$B$3,6)</f>
        <v>46508</v>
      </c>
      <c r="I26" s="11">
        <f>EDATE(Assumptions!$B$3,7)</f>
        <v>46539</v>
      </c>
      <c r="J26" s="11">
        <f>EDATE(Assumptions!$B$3,8)</f>
        <v>46569</v>
      </c>
      <c r="K26" s="11">
        <f>EDATE(Assumptions!$B$3,9)</f>
        <v>46600</v>
      </c>
      <c r="L26" s="11">
        <f>EDATE(Assumptions!$B$3,10)</f>
        <v>46631</v>
      </c>
      <c r="M26" s="11">
        <f>EDATE(Assumptions!$B$3,11)</f>
        <v>46661</v>
      </c>
      <c r="N26" s="11">
        <f>EDATE(Assumptions!$B$3,12)</f>
        <v>46692</v>
      </c>
      <c r="O26" s="11">
        <f>EDATE(Assumptions!$B$3,13)</f>
        <v>46722</v>
      </c>
      <c r="P26" s="11">
        <f>EDATE(Assumptions!$B$3,14)</f>
        <v>46753</v>
      </c>
      <c r="Q26" s="11">
        <f>EDATE(Assumptions!$B$3,15)</f>
        <v>46784</v>
      </c>
      <c r="R26" s="11">
        <f>EDATE(Assumptions!$B$3,16)</f>
        <v>46813</v>
      </c>
      <c r="S26" s="11">
        <f>EDATE(Assumptions!$B$3,17)</f>
        <v>46844</v>
      </c>
      <c r="T26" s="11">
        <f>EDATE(Assumptions!$B$3,18)</f>
        <v>46874</v>
      </c>
      <c r="U26" s="11">
        <f>EDATE(Assumptions!$B$3,19)</f>
        <v>46905</v>
      </c>
      <c r="V26" s="11">
        <f>EDATE(Assumptions!$B$3,20)</f>
        <v>46935</v>
      </c>
      <c r="W26" s="11">
        <f>EDATE(Assumptions!$B$3,21)</f>
        <v>46966</v>
      </c>
      <c r="X26" s="11">
        <f>EDATE(Assumptions!$B$3,22)</f>
        <v>46997</v>
      </c>
      <c r="Y26" s="11">
        <f>EDATE(Assumptions!$B$3,23)</f>
        <v>47027</v>
      </c>
      <c r="Z26" s="1" t="s">
        <v>105</v>
      </c>
    </row>
    <row r="27" spans="1:26" ht="16.5">
      <c r="A27" s="1" t="s">
        <v>122</v>
      </c>
      <c r="B27" s="4">
        <f>Cohorts!B38</f>
        <v>0</v>
      </c>
      <c r="C27" s="4">
        <f>Cohorts!C38</f>
        <v>0</v>
      </c>
      <c r="D27" s="4">
        <f>Cohorts!D38</f>
        <v>0</v>
      </c>
      <c r="E27" s="4">
        <f>Cohorts!E38</f>
        <v>0</v>
      </c>
      <c r="F27" s="4">
        <f>Cohorts!F38</f>
        <v>0</v>
      </c>
      <c r="G27" s="4">
        <f>Cohorts!G38</f>
        <v>0</v>
      </c>
      <c r="H27" s="4">
        <f>Cohorts!H38</f>
        <v>0</v>
      </c>
      <c r="I27" s="4">
        <f>Cohorts!I38</f>
        <v>0</v>
      </c>
      <c r="J27" s="4">
        <f>Cohorts!J38</f>
        <v>0</v>
      </c>
      <c r="K27" s="4">
        <f>Cohorts!K38</f>
        <v>0</v>
      </c>
      <c r="L27" s="4">
        <f>Cohorts!L38</f>
        <v>0</v>
      </c>
      <c r="M27" s="4">
        <f>Cohorts!M38</f>
        <v>0</v>
      </c>
      <c r="N27" s="4">
        <f>Cohorts!N38</f>
        <v>0</v>
      </c>
      <c r="O27" s="4">
        <f>Cohorts!O38</f>
        <v>0</v>
      </c>
      <c r="P27" s="4">
        <f>Cohorts!P38</f>
        <v>0</v>
      </c>
      <c r="Q27" s="4">
        <f>Cohorts!Q38</f>
        <v>0</v>
      </c>
      <c r="R27" s="4">
        <f>Cohorts!R38</f>
        <v>0</v>
      </c>
      <c r="S27" s="4">
        <f>Cohorts!S38</f>
        <v>0</v>
      </c>
      <c r="T27" s="4">
        <f>Cohorts!T38</f>
        <v>1692917.5348</v>
      </c>
      <c r="U27" s="4">
        <f>Cohorts!U38</f>
        <v>1692917.5348</v>
      </c>
      <c r="V27" s="4">
        <f>Cohorts!V38</f>
        <v>1692917.5348</v>
      </c>
      <c r="W27" s="4">
        <f>Cohorts!W38</f>
        <v>3383803.3952000001</v>
      </c>
      <c r="X27" s="4">
        <f>Cohorts!X38</f>
        <v>3383803.3952000001</v>
      </c>
      <c r="Y27" s="4">
        <f>Cohorts!Y38</f>
        <v>3383803.3952000001</v>
      </c>
      <c r="Z27" s="4">
        <f>SUM(B27:Y27)</f>
        <v>15230162.789999999</v>
      </c>
    </row>
    <row r="28" spans="1:26" ht="16.5">
      <c r="A28" s="1" t="s">
        <v>130</v>
      </c>
      <c r="B28" s="4">
        <f>B27*Assumptions!$B$5</f>
        <v>0</v>
      </c>
      <c r="C28" s="4">
        <f>C27*Assumptions!$B$5</f>
        <v>0</v>
      </c>
      <c r="D28" s="4">
        <f>D27*Assumptions!$B$5</f>
        <v>0</v>
      </c>
      <c r="E28" s="4">
        <f>E27*Assumptions!$B$5</f>
        <v>0</v>
      </c>
      <c r="F28" s="4">
        <f>F27*Assumptions!$B$5</f>
        <v>0</v>
      </c>
      <c r="G28" s="4">
        <f>G27*Assumptions!$B$5</f>
        <v>0</v>
      </c>
      <c r="H28" s="4">
        <f>H27*Assumptions!$B$5</f>
        <v>0</v>
      </c>
      <c r="I28" s="4">
        <f>I27*Assumptions!$B$5</f>
        <v>0</v>
      </c>
      <c r="J28" s="4">
        <f>J27*Assumptions!$B$5</f>
        <v>0</v>
      </c>
      <c r="K28" s="4">
        <f>K27*Assumptions!$B$5</f>
        <v>0</v>
      </c>
      <c r="L28" s="4">
        <f>L27*Assumptions!$B$5</f>
        <v>0</v>
      </c>
      <c r="M28" s="4">
        <f>M27*Assumptions!$B$5</f>
        <v>0</v>
      </c>
      <c r="N28" s="4">
        <f>N27*Assumptions!$B$5</f>
        <v>0</v>
      </c>
      <c r="O28" s="4">
        <f>O27*Assumptions!$B$5</f>
        <v>0</v>
      </c>
      <c r="P28" s="4">
        <f>P27*Assumptions!$B$5</f>
        <v>0</v>
      </c>
      <c r="Q28" s="4">
        <f>Q27*Assumptions!$B$5</f>
        <v>0</v>
      </c>
      <c r="R28" s="4">
        <f>R27*Assumptions!$B$5</f>
        <v>0</v>
      </c>
      <c r="S28" s="4">
        <f>S27*Assumptions!$B$5</f>
        <v>0</v>
      </c>
      <c r="T28" s="4">
        <f>T27*Assumptions!$B$5</f>
        <v>0</v>
      </c>
      <c r="U28" s="4">
        <f>U27*Assumptions!$B$5</f>
        <v>0</v>
      </c>
      <c r="V28" s="4">
        <f>V27*Assumptions!$B$5</f>
        <v>0</v>
      </c>
      <c r="W28" s="4">
        <f>W27*Assumptions!$B$5</f>
        <v>0</v>
      </c>
      <c r="X28" s="4">
        <f>X27*Assumptions!$B$5</f>
        <v>0</v>
      </c>
      <c r="Y28" s="4">
        <f>Y27*Assumptions!$B$5</f>
        <v>0</v>
      </c>
      <c r="Z28" s="4">
        <f>SUM(B28:Y28)</f>
        <v>0</v>
      </c>
    </row>
    <row r="29" spans="1:26" ht="16.5">
      <c r="A29" s="1" t="s">
        <v>131</v>
      </c>
      <c r="B29" s="4">
        <f>IF(1&gt;Assumptions!$B$6,INDEX($B$28:$Y$28,1,1-Assumptions!$B$6),0)</f>
        <v>0</v>
      </c>
      <c r="C29" s="4">
        <f>IF(2&gt;Assumptions!$B$6,INDEX($B$28:$Y$28,1,2-Assumptions!$B$6),0)</f>
        <v>0</v>
      </c>
      <c r="D29" s="4">
        <f>IF(3&gt;Assumptions!$B$6,INDEX($B$28:$Y$28,1,3-Assumptions!$B$6),0)</f>
        <v>0</v>
      </c>
      <c r="E29" s="4">
        <f>IF(4&gt;Assumptions!$B$6,INDEX($B$28:$Y$28,1,4-Assumptions!$B$6),0)</f>
        <v>0</v>
      </c>
      <c r="F29" s="4">
        <f>IF(5&gt;Assumptions!$B$6,INDEX($B$28:$Y$28,1,5-Assumptions!$B$6),0)</f>
        <v>0</v>
      </c>
      <c r="G29" s="4">
        <f>IF(6&gt;Assumptions!$B$6,INDEX($B$28:$Y$28,1,6-Assumptions!$B$6),0)</f>
        <v>0</v>
      </c>
      <c r="H29" s="4">
        <f>IF(7&gt;Assumptions!$B$6,INDEX($B$28:$Y$28,1,7-Assumptions!$B$6),0)</f>
        <v>0</v>
      </c>
      <c r="I29" s="4">
        <f>IF(8&gt;Assumptions!$B$6,INDEX($B$28:$Y$28,1,8-Assumptions!$B$6),0)</f>
        <v>0</v>
      </c>
      <c r="J29" s="4">
        <f>IF(9&gt;Assumptions!$B$6,INDEX($B$28:$Y$28,1,9-Assumptions!$B$6),0)</f>
        <v>0</v>
      </c>
      <c r="K29" s="4">
        <f>IF(10&gt;Assumptions!$B$6,INDEX($B$28:$Y$28,1,10-Assumptions!$B$6),0)</f>
        <v>0</v>
      </c>
      <c r="L29" s="4">
        <f>IF(11&gt;Assumptions!$B$6,INDEX($B$28:$Y$28,1,11-Assumptions!$B$6),0)</f>
        <v>0</v>
      </c>
      <c r="M29" s="4">
        <f>IF(12&gt;Assumptions!$B$6,INDEX($B$28:$Y$28,1,12-Assumptions!$B$6),0)</f>
        <v>0</v>
      </c>
      <c r="N29" s="4">
        <f>IF(13&gt;Assumptions!$B$6,INDEX($B$28:$Y$28,1,13-Assumptions!$B$6),0)</f>
        <v>0</v>
      </c>
      <c r="O29" s="4">
        <f>IF(14&gt;Assumptions!$B$6,INDEX($B$28:$Y$28,1,14-Assumptions!$B$6),0)</f>
        <v>0</v>
      </c>
      <c r="P29" s="4">
        <f>IF(15&gt;Assumptions!$B$6,INDEX($B$28:$Y$28,1,15-Assumptions!$B$6),0)</f>
        <v>0</v>
      </c>
      <c r="Q29" s="4">
        <f>IF(16&gt;Assumptions!$B$6,INDEX($B$28:$Y$28,1,16-Assumptions!$B$6),0)</f>
        <v>0</v>
      </c>
      <c r="R29" s="4">
        <f>IF(17&gt;Assumptions!$B$6,INDEX($B$28:$Y$28,1,17-Assumptions!$B$6),0)</f>
        <v>0</v>
      </c>
      <c r="S29" s="4">
        <f>IF(18&gt;Assumptions!$B$6,INDEX($B$28:$Y$28,1,18-Assumptions!$B$6),0)</f>
        <v>0</v>
      </c>
      <c r="T29" s="4">
        <f>IF(19&gt;Assumptions!$B$6,INDEX($B$28:$Y$28,1,19-Assumptions!$B$6),0)</f>
        <v>0</v>
      </c>
      <c r="U29" s="4">
        <f>IF(20&gt;Assumptions!$B$6,INDEX($B$28:$Y$28,1,20-Assumptions!$B$6),0)</f>
        <v>0</v>
      </c>
      <c r="V29" s="4">
        <f>IF(21&gt;Assumptions!$B$6,INDEX($B$28:$Y$28,1,21-Assumptions!$B$6),0)</f>
        <v>0</v>
      </c>
      <c r="W29" s="4">
        <f>IF(22&gt;Assumptions!$B$6,INDEX($B$28:$Y$28,1,22-Assumptions!$B$6),0)</f>
        <v>0</v>
      </c>
      <c r="X29" s="4">
        <f>IF(23&gt;Assumptions!$B$6,INDEX($B$28:$Y$28,1,23-Assumptions!$B$6),0)</f>
        <v>0</v>
      </c>
      <c r="Y29" s="4">
        <f>IF(24&gt;Assumptions!$B$6,INDEX($B$28:$Y$28,1,24-Assumptions!$B$6),0)</f>
        <v>0</v>
      </c>
      <c r="Z29" s="4">
        <f>SUM(B29:Y29)</f>
        <v>0</v>
      </c>
    </row>
    <row r="30" spans="1:26" ht="16.5">
      <c r="A30" s="1" t="s">
        <v>132</v>
      </c>
      <c r="B30" s="4">
        <f>SUM($B28:B28)-SUM($B29:B29)</f>
        <v>0</v>
      </c>
      <c r="C30" s="4">
        <f>SUM($B28:C28)-SUM($B29:C29)</f>
        <v>0</v>
      </c>
      <c r="D30" s="4">
        <f>SUM($B28:D28)-SUM($B29:D29)</f>
        <v>0</v>
      </c>
      <c r="E30" s="4">
        <f>SUM($B28:E28)-SUM($B29:E29)</f>
        <v>0</v>
      </c>
      <c r="F30" s="4">
        <f>SUM($B28:F28)-SUM($B29:F29)</f>
        <v>0</v>
      </c>
      <c r="G30" s="4">
        <f>SUM($B28:G28)-SUM($B29:G29)</f>
        <v>0</v>
      </c>
      <c r="H30" s="4">
        <f>SUM($B28:H28)-SUM($B29:H29)</f>
        <v>0</v>
      </c>
      <c r="I30" s="4">
        <f>SUM($B28:I28)-SUM($B29:I29)</f>
        <v>0</v>
      </c>
      <c r="J30" s="4">
        <f>SUM($B28:J28)-SUM($B29:J29)</f>
        <v>0</v>
      </c>
      <c r="K30" s="4">
        <f>SUM($B28:K28)-SUM($B29:K29)</f>
        <v>0</v>
      </c>
      <c r="L30" s="4">
        <f>SUM($B28:L28)-SUM($B29:L29)</f>
        <v>0</v>
      </c>
      <c r="M30" s="4">
        <f>SUM($B28:M28)-SUM($B29:M29)</f>
        <v>0</v>
      </c>
      <c r="N30" s="4">
        <f>SUM($B28:N28)-SUM($B29:N29)</f>
        <v>0</v>
      </c>
      <c r="O30" s="4">
        <f>SUM($B28:O28)-SUM($B29:O29)</f>
        <v>0</v>
      </c>
      <c r="P30" s="4">
        <f>SUM($B28:P28)-SUM($B29:P29)</f>
        <v>0</v>
      </c>
      <c r="Q30" s="4">
        <f>SUM($B28:Q28)-SUM($B29:Q29)</f>
        <v>0</v>
      </c>
      <c r="R30" s="4">
        <f>SUM($B28:R28)-SUM($B29:R29)</f>
        <v>0</v>
      </c>
      <c r="S30" s="4">
        <f>SUM($B28:S28)-SUM($B29:S29)</f>
        <v>0</v>
      </c>
      <c r="T30" s="4">
        <f>SUM($B28:T28)-SUM($B29:T29)</f>
        <v>0</v>
      </c>
      <c r="U30" s="4">
        <f>SUM($B28:U28)-SUM($B29:U29)</f>
        <v>0</v>
      </c>
      <c r="V30" s="4">
        <f>SUM($B28:V28)-SUM($B29:V29)</f>
        <v>0</v>
      </c>
      <c r="W30" s="4">
        <f>SUM($B28:W28)-SUM($B29:W29)</f>
        <v>0</v>
      </c>
      <c r="X30" s="4">
        <f>SUM($B28:X28)-SUM($B29:X29)</f>
        <v>0</v>
      </c>
      <c r="Y30" s="4">
        <f>SUM($B28:Y28)-SUM($B29:Y29)</f>
        <v>0</v>
      </c>
      <c r="Z30" s="4">
        <f>Y30</f>
        <v>0</v>
      </c>
    </row>
  </sheetData>
  <phoneticPr fontId="4" type="noConversion"/>
  <printOptions horizontalCentered="1"/>
  <pageMargins left="0.25" right="0.25" top="1" bottom="1" header="0.5" footer="0.5"/>
  <pageSetup paperSize="8" fitToWidth="2" fitToHeight="0" orientation="landscape"/>
  <headerFooter>
    <oddFooter>&amp;CBlocky Studio | 规划预算 | &amp;P / &amp;N</oddFooter>
  </headerFooter>
  <rowBreaks count="2" manualBreakCount="2">
    <brk id="12" max="16383" man="1"/>
    <brk id="24" max="16383" man="1"/>
  </rowBreaks>
  <colBreaks count="1" manualBreakCount="1">
    <brk id="13" max="1638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4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3.5"/>
  <cols>
    <col min="1" max="1" width="39" customWidth="1"/>
    <col min="2" max="26" width="13" customWidth="1"/>
  </cols>
  <sheetData>
    <row r="1" spans="1:26" ht="18">
      <c r="A1" s="6" t="s">
        <v>2</v>
      </c>
    </row>
    <row r="2" spans="1:26" ht="33">
      <c r="A2" s="1" t="s">
        <v>104</v>
      </c>
      <c r="B2" s="11">
        <f>EDATE(Assumptions!$B$3,0)</f>
        <v>46327</v>
      </c>
      <c r="C2" s="11">
        <f>EDATE(Assumptions!$B$3,1)</f>
        <v>46357</v>
      </c>
      <c r="D2" s="11">
        <f>EDATE(Assumptions!$B$3,2)</f>
        <v>46388</v>
      </c>
      <c r="E2" s="11">
        <f>EDATE(Assumptions!$B$3,3)</f>
        <v>46419</v>
      </c>
      <c r="F2" s="11">
        <f>EDATE(Assumptions!$B$3,4)</f>
        <v>46447</v>
      </c>
      <c r="G2" s="11">
        <f>EDATE(Assumptions!$B$3,5)</f>
        <v>46478</v>
      </c>
      <c r="H2" s="11">
        <f>EDATE(Assumptions!$B$3,6)</f>
        <v>46508</v>
      </c>
      <c r="I2" s="11">
        <f>EDATE(Assumptions!$B$3,7)</f>
        <v>46539</v>
      </c>
      <c r="J2" s="11">
        <f>EDATE(Assumptions!$B$3,8)</f>
        <v>46569</v>
      </c>
      <c r="K2" s="11">
        <f>EDATE(Assumptions!$B$3,9)</f>
        <v>46600</v>
      </c>
      <c r="L2" s="11">
        <f>EDATE(Assumptions!$B$3,10)</f>
        <v>46631</v>
      </c>
      <c r="M2" s="11">
        <f>EDATE(Assumptions!$B$3,11)</f>
        <v>46661</v>
      </c>
      <c r="N2" s="11">
        <f>EDATE(Assumptions!$B$3,12)</f>
        <v>46692</v>
      </c>
      <c r="O2" s="11">
        <f>EDATE(Assumptions!$B$3,13)</f>
        <v>46722</v>
      </c>
      <c r="P2" s="11">
        <f>EDATE(Assumptions!$B$3,14)</f>
        <v>46753</v>
      </c>
      <c r="Q2" s="11">
        <f>EDATE(Assumptions!$B$3,15)</f>
        <v>46784</v>
      </c>
      <c r="R2" s="11">
        <f>EDATE(Assumptions!$B$3,16)</f>
        <v>46813</v>
      </c>
      <c r="S2" s="11">
        <f>EDATE(Assumptions!$B$3,17)</f>
        <v>46844</v>
      </c>
      <c r="T2" s="11">
        <f>EDATE(Assumptions!$B$3,18)</f>
        <v>46874</v>
      </c>
      <c r="U2" s="11">
        <f>EDATE(Assumptions!$B$3,19)</f>
        <v>46905</v>
      </c>
      <c r="V2" s="11">
        <f>EDATE(Assumptions!$B$3,20)</f>
        <v>46935</v>
      </c>
      <c r="W2" s="11">
        <f>EDATE(Assumptions!$B$3,21)</f>
        <v>46966</v>
      </c>
      <c r="X2" s="11">
        <f>EDATE(Assumptions!$B$3,22)</f>
        <v>46997</v>
      </c>
      <c r="Y2" s="11">
        <f>EDATE(Assumptions!$B$3,23)</f>
        <v>47027</v>
      </c>
      <c r="Z2" s="1" t="s">
        <v>105</v>
      </c>
    </row>
    <row r="3" spans="1:26" ht="16.5">
      <c r="A3" s="1" t="s">
        <v>133</v>
      </c>
      <c r="B3" s="4">
        <f>Revenue!B4</f>
        <v>0</v>
      </c>
      <c r="C3" s="4">
        <f>Revenue!C4</f>
        <v>0</v>
      </c>
      <c r="D3" s="4">
        <f>Revenue!D4</f>
        <v>0</v>
      </c>
      <c r="E3" s="4">
        <f>Revenue!E4</f>
        <v>0</v>
      </c>
      <c r="F3" s="4">
        <f>Revenue!F4</f>
        <v>0</v>
      </c>
      <c r="G3" s="4">
        <f>Revenue!G4</f>
        <v>0</v>
      </c>
      <c r="H3" s="4">
        <f>Revenue!H4</f>
        <v>0</v>
      </c>
      <c r="I3" s="4">
        <f>Revenue!I4</f>
        <v>0</v>
      </c>
      <c r="J3" s="4">
        <f>Revenue!J4</f>
        <v>0</v>
      </c>
      <c r="K3" s="4">
        <f>Revenue!K4</f>
        <v>0</v>
      </c>
      <c r="L3" s="4">
        <f>Revenue!L4</f>
        <v>0</v>
      </c>
      <c r="M3" s="4">
        <f>Revenue!M4</f>
        <v>0</v>
      </c>
      <c r="N3" s="4">
        <f>Revenue!N4</f>
        <v>0</v>
      </c>
      <c r="O3" s="4">
        <f>Revenue!O4</f>
        <v>0</v>
      </c>
      <c r="P3" s="4">
        <f>Revenue!P4</f>
        <v>0</v>
      </c>
      <c r="Q3" s="4">
        <f>Revenue!Q4</f>
        <v>0</v>
      </c>
      <c r="R3" s="4">
        <f>Revenue!R4</f>
        <v>0</v>
      </c>
      <c r="S3" s="4">
        <f>Revenue!S4</f>
        <v>0</v>
      </c>
      <c r="T3" s="4">
        <f>Revenue!T4</f>
        <v>0</v>
      </c>
      <c r="U3" s="4">
        <f>Revenue!U4</f>
        <v>0</v>
      </c>
      <c r="V3" s="4">
        <f>Revenue!V4</f>
        <v>0</v>
      </c>
      <c r="W3" s="4">
        <f>Revenue!W4</f>
        <v>0</v>
      </c>
      <c r="X3" s="4">
        <f>Revenue!X4</f>
        <v>0</v>
      </c>
      <c r="Y3" s="4">
        <f>Revenue!Y4</f>
        <v>0</v>
      </c>
      <c r="Z3" s="4">
        <f t="shared" ref="Z3:Z9" si="0">SUM(B3:Y3)</f>
        <v>0</v>
      </c>
    </row>
    <row r="4" spans="1:26" ht="16.5">
      <c r="A4" s="1" t="s">
        <v>134</v>
      </c>
      <c r="B4" s="4">
        <f>Costs!B11</f>
        <v>0</v>
      </c>
      <c r="C4" s="4">
        <f>Costs!C11</f>
        <v>0</v>
      </c>
      <c r="D4" s="4">
        <f>Costs!D11</f>
        <v>0</v>
      </c>
      <c r="E4" s="4">
        <f>Costs!E11</f>
        <v>0</v>
      </c>
      <c r="F4" s="4">
        <f>Costs!F11</f>
        <v>0</v>
      </c>
      <c r="G4" s="4">
        <f>Costs!G11</f>
        <v>0</v>
      </c>
      <c r="H4" s="4">
        <f>Costs!H11</f>
        <v>0</v>
      </c>
      <c r="I4" s="4">
        <f>Costs!I11</f>
        <v>0</v>
      </c>
      <c r="J4" s="4">
        <f>Costs!J11</f>
        <v>0</v>
      </c>
      <c r="K4" s="4">
        <f>Costs!K11</f>
        <v>0</v>
      </c>
      <c r="L4" s="4">
        <f>Costs!L11</f>
        <v>0</v>
      </c>
      <c r="M4" s="4">
        <f>Costs!M11</f>
        <v>0</v>
      </c>
      <c r="N4" s="4">
        <f>Costs!N11</f>
        <v>0</v>
      </c>
      <c r="O4" s="4">
        <f>Costs!O11</f>
        <v>0</v>
      </c>
      <c r="P4" s="4">
        <f>Costs!P11</f>
        <v>0</v>
      </c>
      <c r="Q4" s="4">
        <f>Costs!Q11</f>
        <v>0</v>
      </c>
      <c r="R4" s="4">
        <f>Costs!R11</f>
        <v>0</v>
      </c>
      <c r="S4" s="4">
        <f>Costs!S11</f>
        <v>0</v>
      </c>
      <c r="T4" s="4">
        <f>Costs!T11</f>
        <v>101575.052088</v>
      </c>
      <c r="U4" s="4">
        <f>Costs!U11</f>
        <v>101575.052088</v>
      </c>
      <c r="V4" s="4">
        <f>Costs!V11</f>
        <v>101575.052088</v>
      </c>
      <c r="W4" s="4">
        <f>Costs!W11</f>
        <v>203028.20371199999</v>
      </c>
      <c r="X4" s="4">
        <f>Costs!X11</f>
        <v>203028.20371199999</v>
      </c>
      <c r="Y4" s="4">
        <f>Costs!Y11</f>
        <v>203028.20371199999</v>
      </c>
      <c r="Z4" s="4">
        <f t="shared" si="0"/>
        <v>913809.76740000001</v>
      </c>
    </row>
    <row r="5" spans="1:26" ht="16.5">
      <c r="A5" s="1" t="s">
        <v>135</v>
      </c>
      <c r="B5" s="4">
        <f t="shared" ref="B5:Y5" si="1">B3-B4</f>
        <v>0</v>
      </c>
      <c r="C5" s="4">
        <f t="shared" si="1"/>
        <v>0</v>
      </c>
      <c r="D5" s="4">
        <f t="shared" si="1"/>
        <v>0</v>
      </c>
      <c r="E5" s="4">
        <f t="shared" si="1"/>
        <v>0</v>
      </c>
      <c r="F5" s="4">
        <f t="shared" si="1"/>
        <v>0</v>
      </c>
      <c r="G5" s="4">
        <f t="shared" si="1"/>
        <v>0</v>
      </c>
      <c r="H5" s="4">
        <f t="shared" si="1"/>
        <v>0</v>
      </c>
      <c r="I5" s="4">
        <f t="shared" si="1"/>
        <v>0</v>
      </c>
      <c r="J5" s="4">
        <f t="shared" si="1"/>
        <v>0</v>
      </c>
      <c r="K5" s="4">
        <f t="shared" si="1"/>
        <v>0</v>
      </c>
      <c r="L5" s="4">
        <f t="shared" si="1"/>
        <v>0</v>
      </c>
      <c r="M5" s="4">
        <f t="shared" si="1"/>
        <v>0</v>
      </c>
      <c r="N5" s="4">
        <f t="shared" si="1"/>
        <v>0</v>
      </c>
      <c r="O5" s="4">
        <f t="shared" si="1"/>
        <v>0</v>
      </c>
      <c r="P5" s="4">
        <f t="shared" si="1"/>
        <v>0</v>
      </c>
      <c r="Q5" s="4">
        <f t="shared" si="1"/>
        <v>0</v>
      </c>
      <c r="R5" s="4">
        <f t="shared" si="1"/>
        <v>0</v>
      </c>
      <c r="S5" s="4">
        <f t="shared" si="1"/>
        <v>0</v>
      </c>
      <c r="T5" s="4">
        <f t="shared" si="1"/>
        <v>-101575.052088</v>
      </c>
      <c r="U5" s="4">
        <f t="shared" si="1"/>
        <v>-101575.052088</v>
      </c>
      <c r="V5" s="4">
        <f t="shared" si="1"/>
        <v>-101575.052088</v>
      </c>
      <c r="W5" s="4">
        <f t="shared" si="1"/>
        <v>-203028.20371199999</v>
      </c>
      <c r="X5" s="4">
        <f t="shared" si="1"/>
        <v>-203028.20371199999</v>
      </c>
      <c r="Y5" s="4">
        <f t="shared" si="1"/>
        <v>-203028.20371199999</v>
      </c>
      <c r="Z5" s="4">
        <f t="shared" si="0"/>
        <v>-913809.76740000001</v>
      </c>
    </row>
    <row r="6" spans="1:26" ht="16.5">
      <c r="A6" s="1" t="s">
        <v>136</v>
      </c>
      <c r="B6" s="4">
        <f>Costs!B17</f>
        <v>39389.357900000003</v>
      </c>
      <c r="C6" s="4">
        <f>Costs!C17</f>
        <v>39389.357900000003</v>
      </c>
      <c r="D6" s="4">
        <f>Costs!D17</f>
        <v>39389.357900000003</v>
      </c>
      <c r="E6" s="4">
        <f>Costs!E17</f>
        <v>46139.357900000003</v>
      </c>
      <c r="F6" s="4">
        <f>Costs!F17</f>
        <v>46139.357900000003</v>
      </c>
      <c r="G6" s="4">
        <f>Costs!G17</f>
        <v>68639.357900000003</v>
      </c>
      <c r="H6" s="4">
        <f>Costs!H17</f>
        <v>65834.036850000004</v>
      </c>
      <c r="I6" s="4">
        <f>Costs!I17</f>
        <v>65834.036850000004</v>
      </c>
      <c r="J6" s="4">
        <f>Costs!J17</f>
        <v>65834.036850000004</v>
      </c>
      <c r="K6" s="4">
        <f>Costs!K17</f>
        <v>65834.036850000004</v>
      </c>
      <c r="L6" s="4">
        <f>Costs!L17</f>
        <v>65834.036850000004</v>
      </c>
      <c r="M6" s="4">
        <f>Costs!M17</f>
        <v>95834.036850000004</v>
      </c>
      <c r="N6" s="4">
        <f>Costs!N17</f>
        <v>71834.036850000004</v>
      </c>
      <c r="O6" s="4">
        <f>Costs!O17</f>
        <v>71834.036850000004</v>
      </c>
      <c r="P6" s="4">
        <f>Costs!P17</f>
        <v>71834.036850000004</v>
      </c>
      <c r="Q6" s="4">
        <f>Costs!Q17</f>
        <v>71834.036850000004</v>
      </c>
      <c r="R6" s="4">
        <f>Costs!R17</f>
        <v>71834.036850000004</v>
      </c>
      <c r="S6" s="4">
        <f>Costs!S17</f>
        <v>101834.03685</v>
      </c>
      <c r="T6" s="4">
        <f>Costs!T17</f>
        <v>71834.036850000004</v>
      </c>
      <c r="U6" s="4">
        <f>Costs!U17</f>
        <v>71834.036850000004</v>
      </c>
      <c r="V6" s="4">
        <f>Costs!V17</f>
        <v>71834.036850000004</v>
      </c>
      <c r="W6" s="4">
        <f>Costs!W17</f>
        <v>71834.036850000004</v>
      </c>
      <c r="X6" s="4">
        <f>Costs!X17</f>
        <v>71834.036850000004</v>
      </c>
      <c r="Y6" s="4">
        <f>Costs!Y17</f>
        <v>101834.03685</v>
      </c>
      <c r="Z6" s="4">
        <f t="shared" si="0"/>
        <v>1626098.8107000005</v>
      </c>
    </row>
    <row r="7" spans="1:26" ht="16.5">
      <c r="A7" s="1" t="s">
        <v>137</v>
      </c>
      <c r="B7" s="4">
        <f>Costs!B12</f>
        <v>0</v>
      </c>
      <c r="C7" s="4">
        <f>Costs!C12</f>
        <v>0</v>
      </c>
      <c r="D7" s="4">
        <f>Costs!D12</f>
        <v>0</v>
      </c>
      <c r="E7" s="4">
        <f>Costs!E12</f>
        <v>0</v>
      </c>
      <c r="F7" s="4">
        <f>Costs!F12</f>
        <v>0</v>
      </c>
      <c r="G7" s="4">
        <f>Costs!G12</f>
        <v>0</v>
      </c>
      <c r="H7" s="4">
        <f>Costs!H12</f>
        <v>0</v>
      </c>
      <c r="I7" s="4">
        <f>Costs!I12</f>
        <v>0</v>
      </c>
      <c r="J7" s="4">
        <f>Costs!J12</f>
        <v>0</v>
      </c>
      <c r="K7" s="4">
        <f>Costs!K12</f>
        <v>0</v>
      </c>
      <c r="L7" s="4">
        <f>Costs!L12</f>
        <v>0</v>
      </c>
      <c r="M7" s="4">
        <f>Costs!M12</f>
        <v>0</v>
      </c>
      <c r="N7" s="4">
        <f>Costs!N12</f>
        <v>0</v>
      </c>
      <c r="O7" s="4">
        <f>Costs!O12</f>
        <v>0</v>
      </c>
      <c r="P7" s="4">
        <f>Costs!P12</f>
        <v>0</v>
      </c>
      <c r="Q7" s="4">
        <f>Costs!Q12</f>
        <v>0</v>
      </c>
      <c r="R7" s="4">
        <f>Costs!R12</f>
        <v>0</v>
      </c>
      <c r="S7" s="4">
        <f>Costs!S12</f>
        <v>0</v>
      </c>
      <c r="T7" s="4">
        <f>Costs!T12</f>
        <v>0</v>
      </c>
      <c r="U7" s="4">
        <f>Costs!U12</f>
        <v>0</v>
      </c>
      <c r="V7" s="4">
        <f>Costs!V12</f>
        <v>0</v>
      </c>
      <c r="W7" s="4">
        <f>Costs!W12</f>
        <v>0</v>
      </c>
      <c r="X7" s="4">
        <f>Costs!X12</f>
        <v>0</v>
      </c>
      <c r="Y7" s="4">
        <f>Costs!Y12</f>
        <v>0</v>
      </c>
      <c r="Z7" s="4">
        <f t="shared" si="0"/>
        <v>0</v>
      </c>
    </row>
    <row r="8" spans="1:26" ht="16.5">
      <c r="A8" s="1" t="s">
        <v>138</v>
      </c>
      <c r="B8" s="4">
        <f>Costs!B15</f>
        <v>1041.6666666666667</v>
      </c>
      <c r="C8" s="4">
        <f>Costs!C15</f>
        <v>1041.6666666666667</v>
      </c>
      <c r="D8" s="4">
        <f>Costs!D15</f>
        <v>1041.6666666666667</v>
      </c>
      <c r="E8" s="4">
        <f>Costs!E15</f>
        <v>1041.6666666666667</v>
      </c>
      <c r="F8" s="4">
        <f>Costs!F15</f>
        <v>1041.6666666666667</v>
      </c>
      <c r="G8" s="4">
        <f>Costs!G15</f>
        <v>1041.6666666666667</v>
      </c>
      <c r="H8" s="4">
        <f>Costs!H15</f>
        <v>1666.6666666666667</v>
      </c>
      <c r="I8" s="4">
        <f>Costs!I15</f>
        <v>1666.6666666666667</v>
      </c>
      <c r="J8" s="4">
        <f>Costs!J15</f>
        <v>1666.6666666666667</v>
      </c>
      <c r="K8" s="4">
        <f>Costs!K15</f>
        <v>1666.6666666666667</v>
      </c>
      <c r="L8" s="4">
        <f>Costs!L15</f>
        <v>1666.6666666666667</v>
      </c>
      <c r="M8" s="4">
        <f>Costs!M15</f>
        <v>1666.6666666666667</v>
      </c>
      <c r="N8" s="4">
        <f>Costs!N15</f>
        <v>1666.6666666666667</v>
      </c>
      <c r="O8" s="4">
        <f>Costs!O15</f>
        <v>1666.6666666666667</v>
      </c>
      <c r="P8" s="4">
        <f>Costs!P15</f>
        <v>1666.6666666666667</v>
      </c>
      <c r="Q8" s="4">
        <f>Costs!Q15</f>
        <v>1666.6666666666667</v>
      </c>
      <c r="R8" s="4">
        <f>Costs!R15</f>
        <v>1666.6666666666667</v>
      </c>
      <c r="S8" s="4">
        <f>Costs!S15</f>
        <v>1666.6666666666667</v>
      </c>
      <c r="T8" s="4">
        <f>Costs!T15</f>
        <v>1666.6666666666667</v>
      </c>
      <c r="U8" s="4">
        <f>Costs!U15</f>
        <v>1666.6666666666667</v>
      </c>
      <c r="V8" s="4">
        <f>Costs!V15</f>
        <v>1666.6666666666667</v>
      </c>
      <c r="W8" s="4">
        <f>Costs!W15</f>
        <v>1666.6666666666667</v>
      </c>
      <c r="X8" s="4">
        <f>Costs!X15</f>
        <v>1666.6666666666667</v>
      </c>
      <c r="Y8" s="4">
        <f>Costs!Y15</f>
        <v>1666.6666666666667</v>
      </c>
      <c r="Z8" s="4">
        <f t="shared" si="0"/>
        <v>36250</v>
      </c>
    </row>
    <row r="9" spans="1:26" ht="16.5">
      <c r="A9" s="1" t="s">
        <v>139</v>
      </c>
      <c r="B9" s="4">
        <f t="shared" ref="B9:Y9" si="2">B5-B6-B7-B8</f>
        <v>-40431.024566666667</v>
      </c>
      <c r="C9" s="4">
        <f t="shared" si="2"/>
        <v>-40431.024566666667</v>
      </c>
      <c r="D9" s="4">
        <f t="shared" si="2"/>
        <v>-40431.024566666667</v>
      </c>
      <c r="E9" s="4">
        <f t="shared" si="2"/>
        <v>-47181.024566666667</v>
      </c>
      <c r="F9" s="4">
        <f t="shared" si="2"/>
        <v>-47181.024566666667</v>
      </c>
      <c r="G9" s="4">
        <f t="shared" si="2"/>
        <v>-69681.024566666674</v>
      </c>
      <c r="H9" s="4">
        <f t="shared" si="2"/>
        <v>-67500.703516666676</v>
      </c>
      <c r="I9" s="4">
        <f t="shared" si="2"/>
        <v>-67500.703516666676</v>
      </c>
      <c r="J9" s="4">
        <f t="shared" si="2"/>
        <v>-67500.703516666676</v>
      </c>
      <c r="K9" s="4">
        <f t="shared" si="2"/>
        <v>-67500.703516666676</v>
      </c>
      <c r="L9" s="4">
        <f t="shared" si="2"/>
        <v>-67500.703516666676</v>
      </c>
      <c r="M9" s="4">
        <f t="shared" si="2"/>
        <v>-97500.703516666676</v>
      </c>
      <c r="N9" s="4">
        <f t="shared" si="2"/>
        <v>-73500.703516666676</v>
      </c>
      <c r="O9" s="4">
        <f t="shared" si="2"/>
        <v>-73500.703516666676</v>
      </c>
      <c r="P9" s="4">
        <f t="shared" si="2"/>
        <v>-73500.703516666676</v>
      </c>
      <c r="Q9" s="4">
        <f t="shared" si="2"/>
        <v>-73500.703516666676</v>
      </c>
      <c r="R9" s="4">
        <f t="shared" si="2"/>
        <v>-73500.703516666676</v>
      </c>
      <c r="S9" s="4">
        <f t="shared" si="2"/>
        <v>-103500.70351666668</v>
      </c>
      <c r="T9" s="4">
        <f t="shared" si="2"/>
        <v>-175075.75560466666</v>
      </c>
      <c r="U9" s="4">
        <f t="shared" si="2"/>
        <v>-175075.75560466666</v>
      </c>
      <c r="V9" s="4">
        <f t="shared" si="2"/>
        <v>-175075.75560466666</v>
      </c>
      <c r="W9" s="4">
        <f t="shared" si="2"/>
        <v>-276528.90722866665</v>
      </c>
      <c r="X9" s="4">
        <f t="shared" si="2"/>
        <v>-276528.90722866665</v>
      </c>
      <c r="Y9" s="4">
        <f t="shared" si="2"/>
        <v>-306528.90722866665</v>
      </c>
      <c r="Z9" s="4">
        <f t="shared" si="0"/>
        <v>-2576158.5781</v>
      </c>
    </row>
    <row r="19" spans="1:26" ht="18">
      <c r="A19" s="6" t="s">
        <v>3</v>
      </c>
    </row>
    <row r="20" spans="1:26" ht="33">
      <c r="A20" s="1" t="s">
        <v>104</v>
      </c>
      <c r="B20" s="11">
        <f>EDATE(Assumptions!$B$3,0)</f>
        <v>46327</v>
      </c>
      <c r="C20" s="11">
        <f>EDATE(Assumptions!$B$3,1)</f>
        <v>46357</v>
      </c>
      <c r="D20" s="11">
        <f>EDATE(Assumptions!$B$3,2)</f>
        <v>46388</v>
      </c>
      <c r="E20" s="11">
        <f>EDATE(Assumptions!$B$3,3)</f>
        <v>46419</v>
      </c>
      <c r="F20" s="11">
        <f>EDATE(Assumptions!$B$3,4)</f>
        <v>46447</v>
      </c>
      <c r="G20" s="11">
        <f>EDATE(Assumptions!$B$3,5)</f>
        <v>46478</v>
      </c>
      <c r="H20" s="11">
        <f>EDATE(Assumptions!$B$3,6)</f>
        <v>46508</v>
      </c>
      <c r="I20" s="11">
        <f>EDATE(Assumptions!$B$3,7)</f>
        <v>46539</v>
      </c>
      <c r="J20" s="11">
        <f>EDATE(Assumptions!$B$3,8)</f>
        <v>46569</v>
      </c>
      <c r="K20" s="11">
        <f>EDATE(Assumptions!$B$3,9)</f>
        <v>46600</v>
      </c>
      <c r="L20" s="11">
        <f>EDATE(Assumptions!$B$3,10)</f>
        <v>46631</v>
      </c>
      <c r="M20" s="11">
        <f>EDATE(Assumptions!$B$3,11)</f>
        <v>46661</v>
      </c>
      <c r="N20" s="11">
        <f>EDATE(Assumptions!$B$3,12)</f>
        <v>46692</v>
      </c>
      <c r="O20" s="11">
        <f>EDATE(Assumptions!$B$3,13)</f>
        <v>46722</v>
      </c>
      <c r="P20" s="11">
        <f>EDATE(Assumptions!$B$3,14)</f>
        <v>46753</v>
      </c>
      <c r="Q20" s="11">
        <f>EDATE(Assumptions!$B$3,15)</f>
        <v>46784</v>
      </c>
      <c r="R20" s="11">
        <f>EDATE(Assumptions!$B$3,16)</f>
        <v>46813</v>
      </c>
      <c r="S20" s="11">
        <f>EDATE(Assumptions!$B$3,17)</f>
        <v>46844</v>
      </c>
      <c r="T20" s="11">
        <f>EDATE(Assumptions!$B$3,18)</f>
        <v>46874</v>
      </c>
      <c r="U20" s="11">
        <f>EDATE(Assumptions!$B$3,19)</f>
        <v>46905</v>
      </c>
      <c r="V20" s="11">
        <f>EDATE(Assumptions!$B$3,20)</f>
        <v>46935</v>
      </c>
      <c r="W20" s="11">
        <f>EDATE(Assumptions!$B$3,21)</f>
        <v>46966</v>
      </c>
      <c r="X20" s="11">
        <f>EDATE(Assumptions!$B$3,22)</f>
        <v>46997</v>
      </c>
      <c r="Y20" s="11">
        <f>EDATE(Assumptions!$B$3,23)</f>
        <v>47027</v>
      </c>
      <c r="Z20" s="1" t="s">
        <v>105</v>
      </c>
    </row>
    <row r="21" spans="1:26" ht="16.5">
      <c r="A21" s="1" t="s">
        <v>133</v>
      </c>
      <c r="B21" s="4">
        <f>Revenue!B16</f>
        <v>0</v>
      </c>
      <c r="C21" s="4">
        <f>Revenue!C16</f>
        <v>0</v>
      </c>
      <c r="D21" s="4">
        <f>Revenue!D16</f>
        <v>0</v>
      </c>
      <c r="E21" s="4">
        <f>Revenue!E16</f>
        <v>0</v>
      </c>
      <c r="F21" s="4">
        <f>Revenue!F16</f>
        <v>0</v>
      </c>
      <c r="G21" s="4">
        <f>Revenue!G16</f>
        <v>0</v>
      </c>
      <c r="H21" s="4">
        <f>Revenue!H16</f>
        <v>0</v>
      </c>
      <c r="I21" s="4">
        <f>Revenue!I16</f>
        <v>0</v>
      </c>
      <c r="J21" s="4">
        <f>Revenue!J16</f>
        <v>0</v>
      </c>
      <c r="K21" s="4">
        <f>Revenue!K16</f>
        <v>0</v>
      </c>
      <c r="L21" s="4">
        <f>Revenue!L16</f>
        <v>0</v>
      </c>
      <c r="M21" s="4">
        <f>Revenue!M16</f>
        <v>0</v>
      </c>
      <c r="N21" s="4">
        <f>Revenue!N16</f>
        <v>0</v>
      </c>
      <c r="O21" s="4">
        <f>Revenue!O16</f>
        <v>0</v>
      </c>
      <c r="P21" s="4">
        <f>Revenue!P16</f>
        <v>0</v>
      </c>
      <c r="Q21" s="4">
        <f>Revenue!Q16</f>
        <v>0</v>
      </c>
      <c r="R21" s="4">
        <f>Revenue!R16</f>
        <v>0</v>
      </c>
      <c r="S21" s="4">
        <f>Revenue!S16</f>
        <v>0</v>
      </c>
      <c r="T21" s="4">
        <f>Revenue!T16</f>
        <v>0</v>
      </c>
      <c r="U21" s="4">
        <f>Revenue!U16</f>
        <v>0</v>
      </c>
      <c r="V21" s="4">
        <f>Revenue!V16</f>
        <v>0</v>
      </c>
      <c r="W21" s="4">
        <f>Revenue!W16</f>
        <v>0</v>
      </c>
      <c r="X21" s="4">
        <f>Revenue!X16</f>
        <v>0</v>
      </c>
      <c r="Y21" s="4">
        <f>Revenue!Y16</f>
        <v>0</v>
      </c>
      <c r="Z21" s="4">
        <f t="shared" ref="Z21:Z27" si="3">SUM(B21:Y21)</f>
        <v>0</v>
      </c>
    </row>
    <row r="22" spans="1:26" ht="16.5">
      <c r="A22" s="1" t="s">
        <v>134</v>
      </c>
      <c r="B22" s="4">
        <f>Costs!B36</f>
        <v>0</v>
      </c>
      <c r="C22" s="4">
        <f>Costs!C36</f>
        <v>0</v>
      </c>
      <c r="D22" s="4">
        <f>Costs!D36</f>
        <v>0</v>
      </c>
      <c r="E22" s="4">
        <f>Costs!E36</f>
        <v>0</v>
      </c>
      <c r="F22" s="4">
        <f>Costs!F36</f>
        <v>0</v>
      </c>
      <c r="G22" s="4">
        <f>Costs!G36</f>
        <v>0</v>
      </c>
      <c r="H22" s="4">
        <f>Costs!H36</f>
        <v>0</v>
      </c>
      <c r="I22" s="4">
        <f>Costs!I36</f>
        <v>0</v>
      </c>
      <c r="J22" s="4">
        <f>Costs!J36</f>
        <v>0</v>
      </c>
      <c r="K22" s="4">
        <f>Costs!K36</f>
        <v>0</v>
      </c>
      <c r="L22" s="4">
        <f>Costs!L36</f>
        <v>0</v>
      </c>
      <c r="M22" s="4">
        <f>Costs!M36</f>
        <v>0</v>
      </c>
      <c r="N22" s="4">
        <f>Costs!N36</f>
        <v>0</v>
      </c>
      <c r="O22" s="4">
        <f>Costs!O36</f>
        <v>0</v>
      </c>
      <c r="P22" s="4">
        <f>Costs!P36</f>
        <v>0</v>
      </c>
      <c r="Q22" s="4">
        <f>Costs!Q36</f>
        <v>0</v>
      </c>
      <c r="R22" s="4">
        <f>Costs!R36</f>
        <v>0</v>
      </c>
      <c r="S22" s="4">
        <f>Costs!S36</f>
        <v>0</v>
      </c>
      <c r="T22" s="4">
        <f>Costs!T36</f>
        <v>338583.50696000003</v>
      </c>
      <c r="U22" s="4">
        <f>Costs!U36</f>
        <v>338583.50696000003</v>
      </c>
      <c r="V22" s="4">
        <f>Costs!V36</f>
        <v>338583.50696000003</v>
      </c>
      <c r="W22" s="4">
        <f>Costs!W36</f>
        <v>676760.67903999996</v>
      </c>
      <c r="X22" s="4">
        <f>Costs!X36</f>
        <v>676760.67903999996</v>
      </c>
      <c r="Y22" s="4">
        <f>Costs!Y36</f>
        <v>676760.67903999996</v>
      </c>
      <c r="Z22" s="4">
        <f t="shared" si="3"/>
        <v>3046032.5579999997</v>
      </c>
    </row>
    <row r="23" spans="1:26" ht="16.5">
      <c r="A23" s="1" t="s">
        <v>135</v>
      </c>
      <c r="B23" s="4">
        <f t="shared" ref="B23:Y23" si="4">B21-B22</f>
        <v>0</v>
      </c>
      <c r="C23" s="4">
        <f t="shared" si="4"/>
        <v>0</v>
      </c>
      <c r="D23" s="4">
        <f t="shared" si="4"/>
        <v>0</v>
      </c>
      <c r="E23" s="4">
        <f t="shared" si="4"/>
        <v>0</v>
      </c>
      <c r="F23" s="4">
        <f t="shared" si="4"/>
        <v>0</v>
      </c>
      <c r="G23" s="4">
        <f t="shared" si="4"/>
        <v>0</v>
      </c>
      <c r="H23" s="4">
        <f t="shared" si="4"/>
        <v>0</v>
      </c>
      <c r="I23" s="4">
        <f t="shared" si="4"/>
        <v>0</v>
      </c>
      <c r="J23" s="4">
        <f t="shared" si="4"/>
        <v>0</v>
      </c>
      <c r="K23" s="4">
        <f t="shared" si="4"/>
        <v>0</v>
      </c>
      <c r="L23" s="4">
        <f t="shared" si="4"/>
        <v>0</v>
      </c>
      <c r="M23" s="4">
        <f t="shared" si="4"/>
        <v>0</v>
      </c>
      <c r="N23" s="4">
        <f t="shared" si="4"/>
        <v>0</v>
      </c>
      <c r="O23" s="4">
        <f t="shared" si="4"/>
        <v>0</v>
      </c>
      <c r="P23" s="4">
        <f t="shared" si="4"/>
        <v>0</v>
      </c>
      <c r="Q23" s="4">
        <f t="shared" si="4"/>
        <v>0</v>
      </c>
      <c r="R23" s="4">
        <f t="shared" si="4"/>
        <v>0</v>
      </c>
      <c r="S23" s="4">
        <f t="shared" si="4"/>
        <v>0</v>
      </c>
      <c r="T23" s="4">
        <f t="shared" si="4"/>
        <v>-338583.50696000003</v>
      </c>
      <c r="U23" s="4">
        <f t="shared" si="4"/>
        <v>-338583.50696000003</v>
      </c>
      <c r="V23" s="4">
        <f t="shared" si="4"/>
        <v>-338583.50696000003</v>
      </c>
      <c r="W23" s="4">
        <f t="shared" si="4"/>
        <v>-676760.67903999996</v>
      </c>
      <c r="X23" s="4">
        <f t="shared" si="4"/>
        <v>-676760.67903999996</v>
      </c>
      <c r="Y23" s="4">
        <f t="shared" si="4"/>
        <v>-676760.67903999996</v>
      </c>
      <c r="Z23" s="4">
        <f t="shared" si="3"/>
        <v>-3046032.5579999997</v>
      </c>
    </row>
    <row r="24" spans="1:26" ht="16.5">
      <c r="A24" s="1" t="s">
        <v>136</v>
      </c>
      <c r="B24" s="4">
        <f>Costs!B42</f>
        <v>71778.715800000005</v>
      </c>
      <c r="C24" s="4">
        <f>Costs!C42</f>
        <v>71778.715800000005</v>
      </c>
      <c r="D24" s="4">
        <f>Costs!D42</f>
        <v>71778.715800000005</v>
      </c>
      <c r="E24" s="4">
        <f>Costs!E42</f>
        <v>80778.715800000005</v>
      </c>
      <c r="F24" s="4">
        <f>Costs!F42</f>
        <v>80778.715800000005</v>
      </c>
      <c r="G24" s="4">
        <f>Costs!G42</f>
        <v>110778.71580000001</v>
      </c>
      <c r="H24" s="4">
        <f>Costs!H42</f>
        <v>105704.9544</v>
      </c>
      <c r="I24" s="4">
        <f>Costs!I42</f>
        <v>105704.9544</v>
      </c>
      <c r="J24" s="4">
        <f>Costs!J42</f>
        <v>105704.9544</v>
      </c>
      <c r="K24" s="4">
        <f>Costs!K42</f>
        <v>105704.9544</v>
      </c>
      <c r="L24" s="4">
        <f>Costs!L42</f>
        <v>105704.9544</v>
      </c>
      <c r="M24" s="4">
        <f>Costs!M42</f>
        <v>145704.95439999999</v>
      </c>
      <c r="N24" s="4">
        <f>Costs!N42</f>
        <v>113704.9544</v>
      </c>
      <c r="O24" s="4">
        <f>Costs!O42</f>
        <v>113704.9544</v>
      </c>
      <c r="P24" s="4">
        <f>Costs!P42</f>
        <v>113704.9544</v>
      </c>
      <c r="Q24" s="4">
        <f>Costs!Q42</f>
        <v>113704.9544</v>
      </c>
      <c r="R24" s="4">
        <f>Costs!R42</f>
        <v>113704.9544</v>
      </c>
      <c r="S24" s="4">
        <f>Costs!S42</f>
        <v>153704.95439999999</v>
      </c>
      <c r="T24" s="4">
        <f>Costs!T42</f>
        <v>113704.9544</v>
      </c>
      <c r="U24" s="4">
        <f>Costs!U42</f>
        <v>113704.9544</v>
      </c>
      <c r="V24" s="4">
        <f>Costs!V42</f>
        <v>113704.9544</v>
      </c>
      <c r="W24" s="4">
        <f>Costs!W42</f>
        <v>113704.9544</v>
      </c>
      <c r="X24" s="4">
        <f>Costs!X42</f>
        <v>113704.9544</v>
      </c>
      <c r="Y24" s="4">
        <f>Costs!Y42</f>
        <v>153704.95439999999</v>
      </c>
      <c r="Z24" s="4">
        <f t="shared" si="3"/>
        <v>2606361.4740000004</v>
      </c>
    </row>
    <row r="25" spans="1:26" ht="16.5">
      <c r="A25" s="1" t="s">
        <v>137</v>
      </c>
      <c r="B25" s="4">
        <f>Costs!B37</f>
        <v>0</v>
      </c>
      <c r="C25" s="4">
        <f>Costs!C37</f>
        <v>0</v>
      </c>
      <c r="D25" s="4">
        <f>Costs!D37</f>
        <v>0</v>
      </c>
      <c r="E25" s="4">
        <f>Costs!E37</f>
        <v>0</v>
      </c>
      <c r="F25" s="4">
        <f>Costs!F37</f>
        <v>0</v>
      </c>
      <c r="G25" s="4">
        <f>Costs!G37</f>
        <v>0</v>
      </c>
      <c r="H25" s="4">
        <f>Costs!H37</f>
        <v>0</v>
      </c>
      <c r="I25" s="4">
        <f>Costs!I37</f>
        <v>0</v>
      </c>
      <c r="J25" s="4">
        <f>Costs!J37</f>
        <v>0</v>
      </c>
      <c r="K25" s="4">
        <f>Costs!K37</f>
        <v>0</v>
      </c>
      <c r="L25" s="4">
        <f>Costs!L37</f>
        <v>0</v>
      </c>
      <c r="M25" s="4">
        <f>Costs!M37</f>
        <v>0</v>
      </c>
      <c r="N25" s="4">
        <f>Costs!N37</f>
        <v>0</v>
      </c>
      <c r="O25" s="4">
        <f>Costs!O37</f>
        <v>0</v>
      </c>
      <c r="P25" s="4">
        <f>Costs!P37</f>
        <v>0</v>
      </c>
      <c r="Q25" s="4">
        <f>Costs!Q37</f>
        <v>0</v>
      </c>
      <c r="R25" s="4">
        <f>Costs!R37</f>
        <v>0</v>
      </c>
      <c r="S25" s="4">
        <f>Costs!S37</f>
        <v>0</v>
      </c>
      <c r="T25" s="4">
        <f>Costs!T37</f>
        <v>0</v>
      </c>
      <c r="U25" s="4">
        <f>Costs!U37</f>
        <v>0</v>
      </c>
      <c r="V25" s="4">
        <f>Costs!V37</f>
        <v>0</v>
      </c>
      <c r="W25" s="4">
        <f>Costs!W37</f>
        <v>0</v>
      </c>
      <c r="X25" s="4">
        <f>Costs!X37</f>
        <v>0</v>
      </c>
      <c r="Y25" s="4">
        <f>Costs!Y37</f>
        <v>0</v>
      </c>
      <c r="Z25" s="4">
        <f t="shared" si="3"/>
        <v>0</v>
      </c>
    </row>
    <row r="26" spans="1:26" ht="16.5">
      <c r="A26" s="1" t="s">
        <v>138</v>
      </c>
      <c r="B26" s="4">
        <f>Costs!B40</f>
        <v>1388.8888888888889</v>
      </c>
      <c r="C26" s="4">
        <f>Costs!C40</f>
        <v>1388.8888888888889</v>
      </c>
      <c r="D26" s="4">
        <f>Costs!D40</f>
        <v>1388.8888888888889</v>
      </c>
      <c r="E26" s="4">
        <f>Costs!E40</f>
        <v>1388.8888888888889</v>
      </c>
      <c r="F26" s="4">
        <f>Costs!F40</f>
        <v>1388.8888888888889</v>
      </c>
      <c r="G26" s="4">
        <f>Costs!G40</f>
        <v>1388.8888888888889</v>
      </c>
      <c r="H26" s="4">
        <f>Costs!H40</f>
        <v>2222.2222222222222</v>
      </c>
      <c r="I26" s="4">
        <f>Costs!I40</f>
        <v>2222.2222222222222</v>
      </c>
      <c r="J26" s="4">
        <f>Costs!J40</f>
        <v>2222.2222222222222</v>
      </c>
      <c r="K26" s="4">
        <f>Costs!K40</f>
        <v>2222.2222222222222</v>
      </c>
      <c r="L26" s="4">
        <f>Costs!L40</f>
        <v>2222.2222222222222</v>
      </c>
      <c r="M26" s="4">
        <f>Costs!M40</f>
        <v>2222.2222222222222</v>
      </c>
      <c r="N26" s="4">
        <f>Costs!N40</f>
        <v>2222.2222222222222</v>
      </c>
      <c r="O26" s="4">
        <f>Costs!O40</f>
        <v>2222.2222222222222</v>
      </c>
      <c r="P26" s="4">
        <f>Costs!P40</f>
        <v>2222.2222222222222</v>
      </c>
      <c r="Q26" s="4">
        <f>Costs!Q40</f>
        <v>2222.2222222222222</v>
      </c>
      <c r="R26" s="4">
        <f>Costs!R40</f>
        <v>2222.2222222222222</v>
      </c>
      <c r="S26" s="4">
        <f>Costs!S40</f>
        <v>2222.2222222222222</v>
      </c>
      <c r="T26" s="4">
        <f>Costs!T40</f>
        <v>2222.2222222222222</v>
      </c>
      <c r="U26" s="4">
        <f>Costs!U40</f>
        <v>2222.2222222222222</v>
      </c>
      <c r="V26" s="4">
        <f>Costs!V40</f>
        <v>2222.2222222222222</v>
      </c>
      <c r="W26" s="4">
        <f>Costs!W40</f>
        <v>2222.2222222222222</v>
      </c>
      <c r="X26" s="4">
        <f>Costs!X40</f>
        <v>2222.2222222222222</v>
      </c>
      <c r="Y26" s="4">
        <f>Costs!Y40</f>
        <v>2222.2222222222222</v>
      </c>
      <c r="Z26" s="4">
        <f t="shared" si="3"/>
        <v>48333.333333333314</v>
      </c>
    </row>
    <row r="27" spans="1:26" ht="16.5">
      <c r="A27" s="1" t="s">
        <v>139</v>
      </c>
      <c r="B27" s="4">
        <f t="shared" ref="B27:Y27" si="5">B23-B24-B25-B26</f>
        <v>-73167.604688888896</v>
      </c>
      <c r="C27" s="4">
        <f t="shared" si="5"/>
        <v>-73167.604688888896</v>
      </c>
      <c r="D27" s="4">
        <f t="shared" si="5"/>
        <v>-73167.604688888896</v>
      </c>
      <c r="E27" s="4">
        <f t="shared" si="5"/>
        <v>-82167.604688888896</v>
      </c>
      <c r="F27" s="4">
        <f t="shared" si="5"/>
        <v>-82167.604688888896</v>
      </c>
      <c r="G27" s="4">
        <f t="shared" si="5"/>
        <v>-112167.6046888889</v>
      </c>
      <c r="H27" s="4">
        <f t="shared" si="5"/>
        <v>-107927.17662222222</v>
      </c>
      <c r="I27" s="4">
        <f t="shared" si="5"/>
        <v>-107927.17662222222</v>
      </c>
      <c r="J27" s="4">
        <f t="shared" si="5"/>
        <v>-107927.17662222222</v>
      </c>
      <c r="K27" s="4">
        <f t="shared" si="5"/>
        <v>-107927.17662222222</v>
      </c>
      <c r="L27" s="4">
        <f t="shared" si="5"/>
        <v>-107927.17662222222</v>
      </c>
      <c r="M27" s="4">
        <f t="shared" si="5"/>
        <v>-147927.17662222221</v>
      </c>
      <c r="N27" s="4">
        <f t="shared" si="5"/>
        <v>-115927.17662222222</v>
      </c>
      <c r="O27" s="4">
        <f t="shared" si="5"/>
        <v>-115927.17662222222</v>
      </c>
      <c r="P27" s="4">
        <f t="shared" si="5"/>
        <v>-115927.17662222222</v>
      </c>
      <c r="Q27" s="4">
        <f t="shared" si="5"/>
        <v>-115927.17662222222</v>
      </c>
      <c r="R27" s="4">
        <f t="shared" si="5"/>
        <v>-115927.17662222222</v>
      </c>
      <c r="S27" s="4">
        <f t="shared" si="5"/>
        <v>-155927.17662222221</v>
      </c>
      <c r="T27" s="4">
        <f t="shared" si="5"/>
        <v>-454510.68358222226</v>
      </c>
      <c r="U27" s="4">
        <f t="shared" si="5"/>
        <v>-454510.68358222226</v>
      </c>
      <c r="V27" s="4">
        <f t="shared" si="5"/>
        <v>-454510.68358222226</v>
      </c>
      <c r="W27" s="4">
        <f t="shared" si="5"/>
        <v>-792687.85566222225</v>
      </c>
      <c r="X27" s="4">
        <f t="shared" si="5"/>
        <v>-792687.85566222225</v>
      </c>
      <c r="Y27" s="4">
        <f t="shared" si="5"/>
        <v>-832687.85566222225</v>
      </c>
      <c r="Z27" s="4">
        <f t="shared" si="3"/>
        <v>-5700727.3653333327</v>
      </c>
    </row>
    <row r="37" spans="1:26" ht="18">
      <c r="A37" s="6" t="s">
        <v>4</v>
      </c>
    </row>
    <row r="38" spans="1:26" ht="33">
      <c r="A38" s="1" t="s">
        <v>104</v>
      </c>
      <c r="B38" s="11">
        <f>EDATE(Assumptions!$B$3,0)</f>
        <v>46327</v>
      </c>
      <c r="C38" s="11">
        <f>EDATE(Assumptions!$B$3,1)</f>
        <v>46357</v>
      </c>
      <c r="D38" s="11">
        <f>EDATE(Assumptions!$B$3,2)</f>
        <v>46388</v>
      </c>
      <c r="E38" s="11">
        <f>EDATE(Assumptions!$B$3,3)</f>
        <v>46419</v>
      </c>
      <c r="F38" s="11">
        <f>EDATE(Assumptions!$B$3,4)</f>
        <v>46447</v>
      </c>
      <c r="G38" s="11">
        <f>EDATE(Assumptions!$B$3,5)</f>
        <v>46478</v>
      </c>
      <c r="H38" s="11">
        <f>EDATE(Assumptions!$B$3,6)</f>
        <v>46508</v>
      </c>
      <c r="I38" s="11">
        <f>EDATE(Assumptions!$B$3,7)</f>
        <v>46539</v>
      </c>
      <c r="J38" s="11">
        <f>EDATE(Assumptions!$B$3,8)</f>
        <v>46569</v>
      </c>
      <c r="K38" s="11">
        <f>EDATE(Assumptions!$B$3,9)</f>
        <v>46600</v>
      </c>
      <c r="L38" s="11">
        <f>EDATE(Assumptions!$B$3,10)</f>
        <v>46631</v>
      </c>
      <c r="M38" s="11">
        <f>EDATE(Assumptions!$B$3,11)</f>
        <v>46661</v>
      </c>
      <c r="N38" s="11">
        <f>EDATE(Assumptions!$B$3,12)</f>
        <v>46692</v>
      </c>
      <c r="O38" s="11">
        <f>EDATE(Assumptions!$B$3,13)</f>
        <v>46722</v>
      </c>
      <c r="P38" s="11">
        <f>EDATE(Assumptions!$B$3,14)</f>
        <v>46753</v>
      </c>
      <c r="Q38" s="11">
        <f>EDATE(Assumptions!$B$3,15)</f>
        <v>46784</v>
      </c>
      <c r="R38" s="11">
        <f>EDATE(Assumptions!$B$3,16)</f>
        <v>46813</v>
      </c>
      <c r="S38" s="11">
        <f>EDATE(Assumptions!$B$3,17)</f>
        <v>46844</v>
      </c>
      <c r="T38" s="11">
        <f>EDATE(Assumptions!$B$3,18)</f>
        <v>46874</v>
      </c>
      <c r="U38" s="11">
        <f>EDATE(Assumptions!$B$3,19)</f>
        <v>46905</v>
      </c>
      <c r="V38" s="11">
        <f>EDATE(Assumptions!$B$3,20)</f>
        <v>46935</v>
      </c>
      <c r="W38" s="11">
        <f>EDATE(Assumptions!$B$3,21)</f>
        <v>46966</v>
      </c>
      <c r="X38" s="11">
        <f>EDATE(Assumptions!$B$3,22)</f>
        <v>46997</v>
      </c>
      <c r="Y38" s="11">
        <f>EDATE(Assumptions!$B$3,23)</f>
        <v>47027</v>
      </c>
      <c r="Z38" s="1" t="s">
        <v>105</v>
      </c>
    </row>
    <row r="39" spans="1:26" ht="16.5">
      <c r="A39" s="1" t="s">
        <v>133</v>
      </c>
      <c r="B39" s="4">
        <f>Revenue!B28</f>
        <v>0</v>
      </c>
      <c r="C39" s="4">
        <f>Revenue!C28</f>
        <v>0</v>
      </c>
      <c r="D39" s="4">
        <f>Revenue!D28</f>
        <v>0</v>
      </c>
      <c r="E39" s="4">
        <f>Revenue!E28</f>
        <v>0</v>
      </c>
      <c r="F39" s="4">
        <f>Revenue!F28</f>
        <v>0</v>
      </c>
      <c r="G39" s="4">
        <f>Revenue!G28</f>
        <v>0</v>
      </c>
      <c r="H39" s="4">
        <f>Revenue!H28</f>
        <v>0</v>
      </c>
      <c r="I39" s="4">
        <f>Revenue!I28</f>
        <v>0</v>
      </c>
      <c r="J39" s="4">
        <f>Revenue!J28</f>
        <v>0</v>
      </c>
      <c r="K39" s="4">
        <f>Revenue!K28</f>
        <v>0</v>
      </c>
      <c r="L39" s="4">
        <f>Revenue!L28</f>
        <v>0</v>
      </c>
      <c r="M39" s="4">
        <f>Revenue!M28</f>
        <v>0</v>
      </c>
      <c r="N39" s="4">
        <f>Revenue!N28</f>
        <v>0</v>
      </c>
      <c r="O39" s="4">
        <f>Revenue!O28</f>
        <v>0</v>
      </c>
      <c r="P39" s="4">
        <f>Revenue!P28</f>
        <v>0</v>
      </c>
      <c r="Q39" s="4">
        <f>Revenue!Q28</f>
        <v>0</v>
      </c>
      <c r="R39" s="4">
        <f>Revenue!R28</f>
        <v>0</v>
      </c>
      <c r="S39" s="4">
        <f>Revenue!S28</f>
        <v>0</v>
      </c>
      <c r="T39" s="4">
        <f>Revenue!T28</f>
        <v>0</v>
      </c>
      <c r="U39" s="4">
        <f>Revenue!U28</f>
        <v>0</v>
      </c>
      <c r="V39" s="4">
        <f>Revenue!V28</f>
        <v>0</v>
      </c>
      <c r="W39" s="4">
        <f>Revenue!W28</f>
        <v>0</v>
      </c>
      <c r="X39" s="4">
        <f>Revenue!X28</f>
        <v>0</v>
      </c>
      <c r="Y39" s="4">
        <f>Revenue!Y28</f>
        <v>0</v>
      </c>
      <c r="Z39" s="4">
        <f t="shared" ref="Z39:Z45" si="6">SUM(B39:Y39)</f>
        <v>0</v>
      </c>
    </row>
    <row r="40" spans="1:26" ht="16.5">
      <c r="A40" s="1" t="s">
        <v>134</v>
      </c>
      <c r="B40" s="4">
        <f>Costs!B61</f>
        <v>0</v>
      </c>
      <c r="C40" s="4">
        <f>Costs!C61</f>
        <v>0</v>
      </c>
      <c r="D40" s="4">
        <f>Costs!D61</f>
        <v>0</v>
      </c>
      <c r="E40" s="4">
        <f>Costs!E61</f>
        <v>0</v>
      </c>
      <c r="F40" s="4">
        <f>Costs!F61</f>
        <v>0</v>
      </c>
      <c r="G40" s="4">
        <f>Costs!G61</f>
        <v>0</v>
      </c>
      <c r="H40" s="4">
        <f>Costs!H61</f>
        <v>0</v>
      </c>
      <c r="I40" s="4">
        <f>Costs!I61</f>
        <v>0</v>
      </c>
      <c r="J40" s="4">
        <f>Costs!J61</f>
        <v>0</v>
      </c>
      <c r="K40" s="4">
        <f>Costs!K61</f>
        <v>0</v>
      </c>
      <c r="L40" s="4">
        <f>Costs!L61</f>
        <v>0</v>
      </c>
      <c r="M40" s="4">
        <f>Costs!M61</f>
        <v>0</v>
      </c>
      <c r="N40" s="4">
        <f>Costs!N61</f>
        <v>0</v>
      </c>
      <c r="O40" s="4">
        <f>Costs!O61</f>
        <v>0</v>
      </c>
      <c r="P40" s="4">
        <f>Costs!P61</f>
        <v>0</v>
      </c>
      <c r="Q40" s="4">
        <f>Costs!Q61</f>
        <v>0</v>
      </c>
      <c r="R40" s="4">
        <f>Costs!R61</f>
        <v>0</v>
      </c>
      <c r="S40" s="4">
        <f>Costs!S61</f>
        <v>0</v>
      </c>
      <c r="T40" s="4">
        <f>Costs!T61</f>
        <v>1692917.5348</v>
      </c>
      <c r="U40" s="4">
        <f>Costs!U61</f>
        <v>1692917.5348</v>
      </c>
      <c r="V40" s="4">
        <f>Costs!V61</f>
        <v>1692917.5348</v>
      </c>
      <c r="W40" s="4">
        <f>Costs!W61</f>
        <v>3383803.3952000001</v>
      </c>
      <c r="X40" s="4">
        <f>Costs!X61</f>
        <v>3383803.3952000001</v>
      </c>
      <c r="Y40" s="4">
        <f>Costs!Y61</f>
        <v>3383803.3952000001</v>
      </c>
      <c r="Z40" s="4">
        <f t="shared" si="6"/>
        <v>15230162.789999999</v>
      </c>
    </row>
    <row r="41" spans="1:26" ht="16.5">
      <c r="A41" s="1" t="s">
        <v>135</v>
      </c>
      <c r="B41" s="4">
        <f t="shared" ref="B41:Y41" si="7">B39-B40</f>
        <v>0</v>
      </c>
      <c r="C41" s="4">
        <f t="shared" si="7"/>
        <v>0</v>
      </c>
      <c r="D41" s="4">
        <f t="shared" si="7"/>
        <v>0</v>
      </c>
      <c r="E41" s="4">
        <f t="shared" si="7"/>
        <v>0</v>
      </c>
      <c r="F41" s="4">
        <f t="shared" si="7"/>
        <v>0</v>
      </c>
      <c r="G41" s="4">
        <f t="shared" si="7"/>
        <v>0</v>
      </c>
      <c r="H41" s="4">
        <f t="shared" si="7"/>
        <v>0</v>
      </c>
      <c r="I41" s="4">
        <f t="shared" si="7"/>
        <v>0</v>
      </c>
      <c r="J41" s="4">
        <f t="shared" si="7"/>
        <v>0</v>
      </c>
      <c r="K41" s="4">
        <f t="shared" si="7"/>
        <v>0</v>
      </c>
      <c r="L41" s="4">
        <f t="shared" si="7"/>
        <v>0</v>
      </c>
      <c r="M41" s="4">
        <f t="shared" si="7"/>
        <v>0</v>
      </c>
      <c r="N41" s="4">
        <f t="shared" si="7"/>
        <v>0</v>
      </c>
      <c r="O41" s="4">
        <f t="shared" si="7"/>
        <v>0</v>
      </c>
      <c r="P41" s="4">
        <f t="shared" si="7"/>
        <v>0</v>
      </c>
      <c r="Q41" s="4">
        <f t="shared" si="7"/>
        <v>0</v>
      </c>
      <c r="R41" s="4">
        <f t="shared" si="7"/>
        <v>0</v>
      </c>
      <c r="S41" s="4">
        <f t="shared" si="7"/>
        <v>0</v>
      </c>
      <c r="T41" s="4">
        <f t="shared" si="7"/>
        <v>-1692917.5348</v>
      </c>
      <c r="U41" s="4">
        <f t="shared" si="7"/>
        <v>-1692917.5348</v>
      </c>
      <c r="V41" s="4">
        <f t="shared" si="7"/>
        <v>-1692917.5348</v>
      </c>
      <c r="W41" s="4">
        <f t="shared" si="7"/>
        <v>-3383803.3952000001</v>
      </c>
      <c r="X41" s="4">
        <f t="shared" si="7"/>
        <v>-3383803.3952000001</v>
      </c>
      <c r="Y41" s="4">
        <f t="shared" si="7"/>
        <v>-3383803.3952000001</v>
      </c>
      <c r="Z41" s="4">
        <f t="shared" si="6"/>
        <v>-15230162.789999999</v>
      </c>
    </row>
    <row r="42" spans="1:26" ht="16.5">
      <c r="A42" s="1" t="s">
        <v>136</v>
      </c>
      <c r="B42" s="4">
        <f>Costs!B67</f>
        <v>116557.4316</v>
      </c>
      <c r="C42" s="4">
        <f>Costs!C67</f>
        <v>116557.4316</v>
      </c>
      <c r="D42" s="4">
        <f>Costs!D67</f>
        <v>116557.4316</v>
      </c>
      <c r="E42" s="4">
        <f>Costs!E67</f>
        <v>130057.4316</v>
      </c>
      <c r="F42" s="4">
        <f>Costs!F67</f>
        <v>130057.4316</v>
      </c>
      <c r="G42" s="4">
        <f>Costs!G67</f>
        <v>175057.43160000001</v>
      </c>
      <c r="H42" s="4">
        <f>Costs!H67</f>
        <v>161446.78950000001</v>
      </c>
      <c r="I42" s="4">
        <f>Costs!I67</f>
        <v>161446.78950000001</v>
      </c>
      <c r="J42" s="4">
        <f>Costs!J67</f>
        <v>161446.78950000001</v>
      </c>
      <c r="K42" s="4">
        <f>Costs!K67</f>
        <v>161446.78950000001</v>
      </c>
      <c r="L42" s="4">
        <f>Costs!L67</f>
        <v>161446.78950000001</v>
      </c>
      <c r="M42" s="4">
        <f>Costs!M67</f>
        <v>221446.78950000001</v>
      </c>
      <c r="N42" s="4">
        <f>Costs!N67</f>
        <v>173446.78950000001</v>
      </c>
      <c r="O42" s="4">
        <f>Costs!O67</f>
        <v>173446.78950000001</v>
      </c>
      <c r="P42" s="4">
        <f>Costs!P67</f>
        <v>173446.78950000001</v>
      </c>
      <c r="Q42" s="4">
        <f>Costs!Q67</f>
        <v>173446.78950000001</v>
      </c>
      <c r="R42" s="4">
        <f>Costs!R67</f>
        <v>173446.78950000001</v>
      </c>
      <c r="S42" s="4">
        <f>Costs!S67</f>
        <v>233446.78950000001</v>
      </c>
      <c r="T42" s="4">
        <f>Costs!T67</f>
        <v>173446.78950000001</v>
      </c>
      <c r="U42" s="4">
        <f>Costs!U67</f>
        <v>173446.78950000001</v>
      </c>
      <c r="V42" s="4">
        <f>Costs!V67</f>
        <v>173446.78950000001</v>
      </c>
      <c r="W42" s="4">
        <f>Costs!W67</f>
        <v>173446.78950000001</v>
      </c>
      <c r="X42" s="4">
        <f>Costs!X67</f>
        <v>173446.78950000001</v>
      </c>
      <c r="Y42" s="4">
        <f>Costs!Y67</f>
        <v>233446.78950000001</v>
      </c>
      <c r="Z42" s="4">
        <f t="shared" si="6"/>
        <v>4014886.8005999993</v>
      </c>
    </row>
    <row r="43" spans="1:26" ht="16.5">
      <c r="A43" s="1" t="s">
        <v>137</v>
      </c>
      <c r="B43" s="4">
        <f>Costs!B62</f>
        <v>0</v>
      </c>
      <c r="C43" s="4">
        <f>Costs!C62</f>
        <v>0</v>
      </c>
      <c r="D43" s="4">
        <f>Costs!D62</f>
        <v>0</v>
      </c>
      <c r="E43" s="4">
        <f>Costs!E62</f>
        <v>0</v>
      </c>
      <c r="F43" s="4">
        <f>Costs!F62</f>
        <v>0</v>
      </c>
      <c r="G43" s="4">
        <f>Costs!G62</f>
        <v>0</v>
      </c>
      <c r="H43" s="4">
        <f>Costs!H62</f>
        <v>0</v>
      </c>
      <c r="I43" s="4">
        <f>Costs!I62</f>
        <v>0</v>
      </c>
      <c r="J43" s="4">
        <f>Costs!J62</f>
        <v>0</v>
      </c>
      <c r="K43" s="4">
        <f>Costs!K62</f>
        <v>0</v>
      </c>
      <c r="L43" s="4">
        <f>Costs!L62</f>
        <v>0</v>
      </c>
      <c r="M43" s="4">
        <f>Costs!M62</f>
        <v>0</v>
      </c>
      <c r="N43" s="4">
        <f>Costs!N62</f>
        <v>0</v>
      </c>
      <c r="O43" s="4">
        <f>Costs!O62</f>
        <v>0</v>
      </c>
      <c r="P43" s="4">
        <f>Costs!P62</f>
        <v>0</v>
      </c>
      <c r="Q43" s="4">
        <f>Costs!Q62</f>
        <v>0</v>
      </c>
      <c r="R43" s="4">
        <f>Costs!R62</f>
        <v>0</v>
      </c>
      <c r="S43" s="4">
        <f>Costs!S62</f>
        <v>0</v>
      </c>
      <c r="T43" s="4">
        <f>Costs!T62</f>
        <v>0</v>
      </c>
      <c r="U43" s="4">
        <f>Costs!U62</f>
        <v>0</v>
      </c>
      <c r="V43" s="4">
        <f>Costs!V62</f>
        <v>0</v>
      </c>
      <c r="W43" s="4">
        <f>Costs!W62</f>
        <v>0</v>
      </c>
      <c r="X43" s="4">
        <f>Costs!X62</f>
        <v>0</v>
      </c>
      <c r="Y43" s="4">
        <f>Costs!Y62</f>
        <v>0</v>
      </c>
      <c r="Z43" s="4">
        <f t="shared" si="6"/>
        <v>0</v>
      </c>
    </row>
    <row r="44" spans="1:26" ht="16.5">
      <c r="A44" s="1" t="s">
        <v>138</v>
      </c>
      <c r="B44" s="4">
        <f>Costs!B65</f>
        <v>2083.3333333333335</v>
      </c>
      <c r="C44" s="4">
        <f>Costs!C65</f>
        <v>2083.3333333333335</v>
      </c>
      <c r="D44" s="4">
        <f>Costs!D65</f>
        <v>2083.3333333333335</v>
      </c>
      <c r="E44" s="4">
        <f>Costs!E65</f>
        <v>2083.3333333333335</v>
      </c>
      <c r="F44" s="4">
        <f>Costs!F65</f>
        <v>2083.3333333333335</v>
      </c>
      <c r="G44" s="4">
        <f>Costs!G65</f>
        <v>2083.3333333333335</v>
      </c>
      <c r="H44" s="4">
        <f>Costs!H65</f>
        <v>3333.3333333333335</v>
      </c>
      <c r="I44" s="4">
        <f>Costs!I65</f>
        <v>3333.3333333333335</v>
      </c>
      <c r="J44" s="4">
        <f>Costs!J65</f>
        <v>3333.3333333333335</v>
      </c>
      <c r="K44" s="4">
        <f>Costs!K65</f>
        <v>3333.3333333333335</v>
      </c>
      <c r="L44" s="4">
        <f>Costs!L65</f>
        <v>3333.3333333333335</v>
      </c>
      <c r="M44" s="4">
        <f>Costs!M65</f>
        <v>3333.3333333333335</v>
      </c>
      <c r="N44" s="4">
        <f>Costs!N65</f>
        <v>3333.3333333333335</v>
      </c>
      <c r="O44" s="4">
        <f>Costs!O65</f>
        <v>3333.3333333333335</v>
      </c>
      <c r="P44" s="4">
        <f>Costs!P65</f>
        <v>3333.3333333333335</v>
      </c>
      <c r="Q44" s="4">
        <f>Costs!Q65</f>
        <v>3333.3333333333335</v>
      </c>
      <c r="R44" s="4">
        <f>Costs!R65</f>
        <v>3333.3333333333335</v>
      </c>
      <c r="S44" s="4">
        <f>Costs!S65</f>
        <v>3333.3333333333335</v>
      </c>
      <c r="T44" s="4">
        <f>Costs!T65</f>
        <v>3333.3333333333335</v>
      </c>
      <c r="U44" s="4">
        <f>Costs!U65</f>
        <v>3333.3333333333335</v>
      </c>
      <c r="V44" s="4">
        <f>Costs!V65</f>
        <v>3333.3333333333335</v>
      </c>
      <c r="W44" s="4">
        <f>Costs!W65</f>
        <v>3333.3333333333335</v>
      </c>
      <c r="X44" s="4">
        <f>Costs!X65</f>
        <v>3333.3333333333335</v>
      </c>
      <c r="Y44" s="4">
        <f>Costs!Y65</f>
        <v>3333.3333333333335</v>
      </c>
      <c r="Z44" s="4">
        <f t="shared" si="6"/>
        <v>72500</v>
      </c>
    </row>
    <row r="45" spans="1:26" ht="16.5">
      <c r="A45" s="1" t="s">
        <v>139</v>
      </c>
      <c r="B45" s="4">
        <f t="shared" ref="B45:Y45" si="8">B41-B42-B43-B44</f>
        <v>-118640.76493333332</v>
      </c>
      <c r="C45" s="4">
        <f t="shared" si="8"/>
        <v>-118640.76493333332</v>
      </c>
      <c r="D45" s="4">
        <f t="shared" si="8"/>
        <v>-118640.76493333332</v>
      </c>
      <c r="E45" s="4">
        <f t="shared" si="8"/>
        <v>-132140.76493333332</v>
      </c>
      <c r="F45" s="4">
        <f t="shared" si="8"/>
        <v>-132140.76493333332</v>
      </c>
      <c r="G45" s="4">
        <f t="shared" si="8"/>
        <v>-177140.76493333335</v>
      </c>
      <c r="H45" s="4">
        <f t="shared" si="8"/>
        <v>-164780.12283333336</v>
      </c>
      <c r="I45" s="4">
        <f t="shared" si="8"/>
        <v>-164780.12283333336</v>
      </c>
      <c r="J45" s="4">
        <f t="shared" si="8"/>
        <v>-164780.12283333336</v>
      </c>
      <c r="K45" s="4">
        <f t="shared" si="8"/>
        <v>-164780.12283333336</v>
      </c>
      <c r="L45" s="4">
        <f t="shared" si="8"/>
        <v>-164780.12283333336</v>
      </c>
      <c r="M45" s="4">
        <f t="shared" si="8"/>
        <v>-224780.12283333336</v>
      </c>
      <c r="N45" s="4">
        <f t="shared" si="8"/>
        <v>-176780.12283333336</v>
      </c>
      <c r="O45" s="4">
        <f t="shared" si="8"/>
        <v>-176780.12283333336</v>
      </c>
      <c r="P45" s="4">
        <f t="shared" si="8"/>
        <v>-176780.12283333336</v>
      </c>
      <c r="Q45" s="4">
        <f t="shared" si="8"/>
        <v>-176780.12283333336</v>
      </c>
      <c r="R45" s="4">
        <f t="shared" si="8"/>
        <v>-176780.12283333336</v>
      </c>
      <c r="S45" s="4">
        <f t="shared" si="8"/>
        <v>-236780.12283333336</v>
      </c>
      <c r="T45" s="4">
        <f t="shared" si="8"/>
        <v>-1869697.6576333332</v>
      </c>
      <c r="U45" s="4">
        <f t="shared" si="8"/>
        <v>-1869697.6576333332</v>
      </c>
      <c r="V45" s="4">
        <f t="shared" si="8"/>
        <v>-1869697.6576333332</v>
      </c>
      <c r="W45" s="4">
        <f t="shared" si="8"/>
        <v>-3560583.5180333336</v>
      </c>
      <c r="X45" s="4">
        <f t="shared" si="8"/>
        <v>-3560583.5180333336</v>
      </c>
      <c r="Y45" s="4">
        <f t="shared" si="8"/>
        <v>-3620583.5180333336</v>
      </c>
      <c r="Z45" s="4">
        <f t="shared" si="6"/>
        <v>-19317549.590600003</v>
      </c>
    </row>
  </sheetData>
  <phoneticPr fontId="4" type="noConversion"/>
  <printOptions horizontalCentered="1"/>
  <pageMargins left="0.25" right="0.25" top="1" bottom="1" header="0.5" footer="0.5"/>
  <pageSetup paperSize="8" fitToWidth="2" fitToHeight="0" orientation="landscape"/>
  <headerFooter>
    <oddFooter>&amp;CBlocky Studio | 规划预算 | &amp;P / &amp;N</oddFooter>
  </headerFooter>
  <rowBreaks count="2" manualBreakCount="2">
    <brk id="18" max="16383" man="1"/>
    <brk id="36" max="16383" man="1"/>
  </rowBreaks>
  <colBreaks count="1" manualBreakCount="1">
    <brk id="13" max="1638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47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3.5"/>
  <cols>
    <col min="1" max="1" width="39" customWidth="1"/>
    <col min="2" max="26" width="13" customWidth="1"/>
  </cols>
  <sheetData>
    <row r="1" spans="1:26" ht="18">
      <c r="A1" s="6" t="s">
        <v>2</v>
      </c>
    </row>
    <row r="2" spans="1:26" ht="33">
      <c r="A2" s="1" t="s">
        <v>104</v>
      </c>
      <c r="B2" s="11">
        <f>EDATE(Assumptions!$B$3,0)</f>
        <v>46327</v>
      </c>
      <c r="C2" s="11">
        <f>EDATE(Assumptions!$B$3,1)</f>
        <v>46357</v>
      </c>
      <c r="D2" s="11">
        <f>EDATE(Assumptions!$B$3,2)</f>
        <v>46388</v>
      </c>
      <c r="E2" s="11">
        <f>EDATE(Assumptions!$B$3,3)</f>
        <v>46419</v>
      </c>
      <c r="F2" s="11">
        <f>EDATE(Assumptions!$B$3,4)</f>
        <v>46447</v>
      </c>
      <c r="G2" s="11">
        <f>EDATE(Assumptions!$B$3,5)</f>
        <v>46478</v>
      </c>
      <c r="H2" s="11">
        <f>EDATE(Assumptions!$B$3,6)</f>
        <v>46508</v>
      </c>
      <c r="I2" s="11">
        <f>EDATE(Assumptions!$B$3,7)</f>
        <v>46539</v>
      </c>
      <c r="J2" s="11">
        <f>EDATE(Assumptions!$B$3,8)</f>
        <v>46569</v>
      </c>
      <c r="K2" s="11">
        <f>EDATE(Assumptions!$B$3,9)</f>
        <v>46600</v>
      </c>
      <c r="L2" s="11">
        <f>EDATE(Assumptions!$B$3,10)</f>
        <v>46631</v>
      </c>
      <c r="M2" s="11">
        <f>EDATE(Assumptions!$B$3,11)</f>
        <v>46661</v>
      </c>
      <c r="N2" s="11">
        <f>EDATE(Assumptions!$B$3,12)</f>
        <v>46692</v>
      </c>
      <c r="O2" s="11">
        <f>EDATE(Assumptions!$B$3,13)</f>
        <v>46722</v>
      </c>
      <c r="P2" s="11">
        <f>EDATE(Assumptions!$B$3,14)</f>
        <v>46753</v>
      </c>
      <c r="Q2" s="11">
        <f>EDATE(Assumptions!$B$3,15)</f>
        <v>46784</v>
      </c>
      <c r="R2" s="11">
        <f>EDATE(Assumptions!$B$3,16)</f>
        <v>46813</v>
      </c>
      <c r="S2" s="11">
        <f>EDATE(Assumptions!$B$3,17)</f>
        <v>46844</v>
      </c>
      <c r="T2" s="11">
        <f>EDATE(Assumptions!$B$3,18)</f>
        <v>46874</v>
      </c>
      <c r="U2" s="11">
        <f>EDATE(Assumptions!$B$3,19)</f>
        <v>46905</v>
      </c>
      <c r="V2" s="11">
        <f>EDATE(Assumptions!$B$3,20)</f>
        <v>46935</v>
      </c>
      <c r="W2" s="11">
        <f>EDATE(Assumptions!$B$3,21)</f>
        <v>46966</v>
      </c>
      <c r="X2" s="11">
        <f>EDATE(Assumptions!$B$3,22)</f>
        <v>46997</v>
      </c>
      <c r="Y2" s="11">
        <f>EDATE(Assumptions!$B$3,23)</f>
        <v>47027</v>
      </c>
      <c r="Z2" s="1" t="s">
        <v>105</v>
      </c>
    </row>
    <row r="3" spans="1:26" ht="16.5">
      <c r="A3" s="1" t="s">
        <v>140</v>
      </c>
      <c r="B3" s="4">
        <f>'Cash Flow'!B20</f>
        <v>3923110.6420999998</v>
      </c>
      <c r="C3" s="4">
        <f>'Cash Flow'!C20</f>
        <v>3883721.2841999996</v>
      </c>
      <c r="D3" s="4">
        <f>'Cash Flow'!D20</f>
        <v>3844331.9262999995</v>
      </c>
      <c r="E3" s="4">
        <f>'Cash Flow'!E20</f>
        <v>3798192.5683999993</v>
      </c>
      <c r="F3" s="4">
        <f>'Cash Flow'!F20</f>
        <v>3752053.2104999991</v>
      </c>
      <c r="G3" s="4">
        <f>'Cash Flow'!G20</f>
        <v>3683413.8525999989</v>
      </c>
      <c r="H3" s="4">
        <f>'Cash Flow'!H20</f>
        <v>3595079.8157499991</v>
      </c>
      <c r="I3" s="4">
        <f>'Cash Flow'!I20</f>
        <v>3529245.7788999993</v>
      </c>
      <c r="J3" s="4">
        <f>'Cash Flow'!J20</f>
        <v>3463411.7420499995</v>
      </c>
      <c r="K3" s="4">
        <f>'Cash Flow'!K20</f>
        <v>3397577.7051999997</v>
      </c>
      <c r="L3" s="4">
        <f>'Cash Flow'!L20</f>
        <v>3331743.6683499999</v>
      </c>
      <c r="M3" s="4">
        <f>'Cash Flow'!M20</f>
        <v>3235909.6315000001</v>
      </c>
      <c r="N3" s="4">
        <f>'Cash Flow'!N20</f>
        <v>3164075.5946500003</v>
      </c>
      <c r="O3" s="4">
        <f>'Cash Flow'!O20</f>
        <v>3092241.5578000005</v>
      </c>
      <c r="P3" s="4">
        <f>'Cash Flow'!P20</f>
        <v>3020407.5209500007</v>
      </c>
      <c r="Q3" s="4">
        <f>'Cash Flow'!Q20</f>
        <v>2948573.4841000009</v>
      </c>
      <c r="R3" s="4">
        <f>'Cash Flow'!R20</f>
        <v>2876739.4472500011</v>
      </c>
      <c r="S3" s="4">
        <f>'Cash Flow'!S20</f>
        <v>2774905.4104000013</v>
      </c>
      <c r="T3" s="4">
        <f>'Cash Flow'!T20</f>
        <v>2601496.3214620012</v>
      </c>
      <c r="U3" s="4">
        <f>'Cash Flow'!U20</f>
        <v>2428087.232524001</v>
      </c>
      <c r="V3" s="4">
        <f>'Cash Flow'!V20</f>
        <v>2254678.1435860009</v>
      </c>
      <c r="W3" s="4">
        <f>'Cash Flow'!W20</f>
        <v>1979815.903024001</v>
      </c>
      <c r="X3" s="4">
        <f>'Cash Flow'!X20</f>
        <v>1704953.6624620012</v>
      </c>
      <c r="Y3" s="4">
        <f>'Cash Flow'!Y20</f>
        <v>1400091.4219000014</v>
      </c>
      <c r="Z3" s="4">
        <f t="shared" ref="Z3:Z11" si="0">Y3</f>
        <v>1400091.4219000014</v>
      </c>
    </row>
    <row r="4" spans="1:26" ht="16.5">
      <c r="A4" s="1" t="s">
        <v>141</v>
      </c>
      <c r="B4" s="4">
        <f>'Cash Flow'!B23</f>
        <v>0</v>
      </c>
      <c r="C4" s="4">
        <f>'Cash Flow'!C23</f>
        <v>0</v>
      </c>
      <c r="D4" s="4">
        <f>'Cash Flow'!D23</f>
        <v>0</v>
      </c>
      <c r="E4" s="4">
        <f>'Cash Flow'!E23</f>
        <v>0</v>
      </c>
      <c r="F4" s="4">
        <f>'Cash Flow'!F23</f>
        <v>0</v>
      </c>
      <c r="G4" s="4">
        <f>'Cash Flow'!G23</f>
        <v>0</v>
      </c>
      <c r="H4" s="4">
        <f>'Cash Flow'!H23</f>
        <v>0</v>
      </c>
      <c r="I4" s="4">
        <f>'Cash Flow'!I23</f>
        <v>0</v>
      </c>
      <c r="J4" s="4">
        <f>'Cash Flow'!J23</f>
        <v>0</v>
      </c>
      <c r="K4" s="4">
        <f>'Cash Flow'!K23</f>
        <v>0</v>
      </c>
      <c r="L4" s="4">
        <f>'Cash Flow'!L23</f>
        <v>0</v>
      </c>
      <c r="M4" s="4">
        <f>'Cash Flow'!M23</f>
        <v>0</v>
      </c>
      <c r="N4" s="4">
        <f>'Cash Flow'!N23</f>
        <v>0</v>
      </c>
      <c r="O4" s="4">
        <f>'Cash Flow'!O23</f>
        <v>0</v>
      </c>
      <c r="P4" s="4">
        <f>'Cash Flow'!P23</f>
        <v>0</v>
      </c>
      <c r="Q4" s="4">
        <f>'Cash Flow'!Q23</f>
        <v>0</v>
      </c>
      <c r="R4" s="4">
        <f>'Cash Flow'!R23</f>
        <v>0</v>
      </c>
      <c r="S4" s="4">
        <f>'Cash Flow'!S23</f>
        <v>0</v>
      </c>
      <c r="T4" s="4">
        <f>'Cash Flow'!T23</f>
        <v>0</v>
      </c>
      <c r="U4" s="4">
        <f>'Cash Flow'!U23</f>
        <v>0</v>
      </c>
      <c r="V4" s="4">
        <f>'Cash Flow'!V23</f>
        <v>0</v>
      </c>
      <c r="W4" s="4">
        <f>'Cash Flow'!W23</f>
        <v>0</v>
      </c>
      <c r="X4" s="4">
        <f>'Cash Flow'!X23</f>
        <v>0</v>
      </c>
      <c r="Y4" s="4">
        <f>'Cash Flow'!Y23</f>
        <v>0</v>
      </c>
      <c r="Z4" s="4">
        <f t="shared" si="0"/>
        <v>0</v>
      </c>
    </row>
    <row r="5" spans="1:26" ht="16.5">
      <c r="A5" s="1" t="s">
        <v>142</v>
      </c>
      <c r="B5" s="4">
        <f>'Cash Flow'!B22</f>
        <v>0</v>
      </c>
      <c r="C5" s="4">
        <f>'Cash Flow'!C22</f>
        <v>0</v>
      </c>
      <c r="D5" s="4">
        <f>'Cash Flow'!D22</f>
        <v>0</v>
      </c>
      <c r="E5" s="4">
        <f>'Cash Flow'!E22</f>
        <v>0</v>
      </c>
      <c r="F5" s="4">
        <f>'Cash Flow'!F22</f>
        <v>0</v>
      </c>
      <c r="G5" s="4">
        <f>'Cash Flow'!G22</f>
        <v>0</v>
      </c>
      <c r="H5" s="4">
        <f>'Cash Flow'!H22</f>
        <v>0</v>
      </c>
      <c r="I5" s="4">
        <f>'Cash Flow'!I22</f>
        <v>0</v>
      </c>
      <c r="J5" s="4">
        <f>'Cash Flow'!J22</f>
        <v>0</v>
      </c>
      <c r="K5" s="4">
        <f>'Cash Flow'!K22</f>
        <v>0</v>
      </c>
      <c r="L5" s="4">
        <f>'Cash Flow'!L22</f>
        <v>0</v>
      </c>
      <c r="M5" s="4">
        <f>'Cash Flow'!M22</f>
        <v>0</v>
      </c>
      <c r="N5" s="4">
        <f>'Cash Flow'!N22</f>
        <v>0</v>
      </c>
      <c r="O5" s="4">
        <f>'Cash Flow'!O22</f>
        <v>0</v>
      </c>
      <c r="P5" s="4">
        <f>'Cash Flow'!P22</f>
        <v>0</v>
      </c>
      <c r="Q5" s="4">
        <f>'Cash Flow'!Q22</f>
        <v>0</v>
      </c>
      <c r="R5" s="4">
        <f>'Cash Flow'!R22</f>
        <v>0</v>
      </c>
      <c r="S5" s="4">
        <f>'Cash Flow'!S22</f>
        <v>0</v>
      </c>
      <c r="T5" s="4">
        <f>'Cash Flow'!T22</f>
        <v>0</v>
      </c>
      <c r="U5" s="4">
        <f>'Cash Flow'!U22</f>
        <v>0</v>
      </c>
      <c r="V5" s="4">
        <f>'Cash Flow'!V22</f>
        <v>0</v>
      </c>
      <c r="W5" s="4">
        <f>'Cash Flow'!W22</f>
        <v>0</v>
      </c>
      <c r="X5" s="4">
        <f>'Cash Flow'!X22</f>
        <v>0</v>
      </c>
      <c r="Y5" s="4">
        <f>'Cash Flow'!Y22</f>
        <v>0</v>
      </c>
      <c r="Z5" s="4">
        <f t="shared" si="0"/>
        <v>0</v>
      </c>
    </row>
    <row r="6" spans="1:26" ht="16.5">
      <c r="A6" s="1" t="s">
        <v>143</v>
      </c>
      <c r="B6" s="4">
        <f>'Cash Flow'!B21</f>
        <v>0</v>
      </c>
      <c r="C6" s="4">
        <f>'Cash Flow'!C21</f>
        <v>0</v>
      </c>
      <c r="D6" s="4">
        <f>'Cash Flow'!D21</f>
        <v>0</v>
      </c>
      <c r="E6" s="4">
        <f>'Cash Flow'!E21</f>
        <v>0</v>
      </c>
      <c r="F6" s="4">
        <f>'Cash Flow'!F21</f>
        <v>0</v>
      </c>
      <c r="G6" s="4">
        <f>'Cash Flow'!G21</f>
        <v>0</v>
      </c>
      <c r="H6" s="4">
        <f>'Cash Flow'!H21</f>
        <v>0</v>
      </c>
      <c r="I6" s="4">
        <f>'Cash Flow'!I21</f>
        <v>0</v>
      </c>
      <c r="J6" s="4">
        <f>'Cash Flow'!J21</f>
        <v>0</v>
      </c>
      <c r="K6" s="4">
        <f>'Cash Flow'!K21</f>
        <v>0</v>
      </c>
      <c r="L6" s="4">
        <f>'Cash Flow'!L21</f>
        <v>0</v>
      </c>
      <c r="M6" s="4">
        <f>'Cash Flow'!M21</f>
        <v>0</v>
      </c>
      <c r="N6" s="4">
        <f>'Cash Flow'!N21</f>
        <v>0</v>
      </c>
      <c r="O6" s="4">
        <f>'Cash Flow'!O21</f>
        <v>0</v>
      </c>
      <c r="P6" s="4">
        <f>'Cash Flow'!P21</f>
        <v>0</v>
      </c>
      <c r="Q6" s="4">
        <f>'Cash Flow'!Q21</f>
        <v>0</v>
      </c>
      <c r="R6" s="4">
        <f>'Cash Flow'!R21</f>
        <v>0</v>
      </c>
      <c r="S6" s="4">
        <f>'Cash Flow'!S21</f>
        <v>0</v>
      </c>
      <c r="T6" s="4">
        <f>'Cash Flow'!T21</f>
        <v>0</v>
      </c>
      <c r="U6" s="4">
        <f>'Cash Flow'!U21</f>
        <v>0</v>
      </c>
      <c r="V6" s="4">
        <f>'Cash Flow'!V21</f>
        <v>0</v>
      </c>
      <c r="W6" s="4">
        <f>'Cash Flow'!W21</f>
        <v>0</v>
      </c>
      <c r="X6" s="4">
        <f>'Cash Flow'!X21</f>
        <v>0</v>
      </c>
      <c r="Y6" s="4">
        <f>'Cash Flow'!Y21</f>
        <v>0</v>
      </c>
      <c r="Z6" s="4">
        <f t="shared" si="0"/>
        <v>0</v>
      </c>
    </row>
    <row r="7" spans="1:26" ht="16.5">
      <c r="A7" s="1" t="s">
        <v>144</v>
      </c>
      <c r="B7" s="4">
        <f>'Cash Flow'!B24</f>
        <v>36458.333333333336</v>
      </c>
      <c r="C7" s="4">
        <f>'Cash Flow'!C24</f>
        <v>35416.666666666664</v>
      </c>
      <c r="D7" s="4">
        <f>'Cash Flow'!D24</f>
        <v>34375</v>
      </c>
      <c r="E7" s="4">
        <f>'Cash Flow'!E24</f>
        <v>33333.333333333336</v>
      </c>
      <c r="F7" s="4">
        <f>'Cash Flow'!F24</f>
        <v>32291.666666666664</v>
      </c>
      <c r="G7" s="4">
        <f>'Cash Flow'!G24</f>
        <v>31250</v>
      </c>
      <c r="H7" s="4">
        <f>'Cash Flow'!H24</f>
        <v>52083.333333333328</v>
      </c>
      <c r="I7" s="4">
        <f>'Cash Flow'!I24</f>
        <v>50416.666666666664</v>
      </c>
      <c r="J7" s="4">
        <f>'Cash Flow'!J24</f>
        <v>48750</v>
      </c>
      <c r="K7" s="4">
        <f>'Cash Flow'!K24</f>
        <v>47083.333333333336</v>
      </c>
      <c r="L7" s="4">
        <f>'Cash Flow'!L24</f>
        <v>45416.666666666672</v>
      </c>
      <c r="M7" s="4">
        <f>'Cash Flow'!M24</f>
        <v>43750</v>
      </c>
      <c r="N7" s="4">
        <f>'Cash Flow'!N24</f>
        <v>42083.333333333336</v>
      </c>
      <c r="O7" s="4">
        <f>'Cash Flow'!O24</f>
        <v>40416.666666666672</v>
      </c>
      <c r="P7" s="4">
        <f>'Cash Flow'!P24</f>
        <v>38750</v>
      </c>
      <c r="Q7" s="4">
        <f>'Cash Flow'!Q24</f>
        <v>37083.333333333328</v>
      </c>
      <c r="R7" s="4">
        <f>'Cash Flow'!R24</f>
        <v>35416.666666666664</v>
      </c>
      <c r="S7" s="4">
        <f>'Cash Flow'!S24</f>
        <v>33750</v>
      </c>
      <c r="T7" s="4">
        <f>'Cash Flow'!T24</f>
        <v>32083.333333333328</v>
      </c>
      <c r="U7" s="4">
        <f>'Cash Flow'!U24</f>
        <v>30416.666666666661</v>
      </c>
      <c r="V7" s="4">
        <f>'Cash Flow'!V24</f>
        <v>28749.999999999993</v>
      </c>
      <c r="W7" s="4">
        <f>'Cash Flow'!W24</f>
        <v>27083.333333333328</v>
      </c>
      <c r="X7" s="4">
        <f>'Cash Flow'!X24</f>
        <v>25416.666666666664</v>
      </c>
      <c r="Y7" s="4">
        <f>'Cash Flow'!Y24</f>
        <v>23750</v>
      </c>
      <c r="Z7" s="4">
        <f t="shared" si="0"/>
        <v>23750</v>
      </c>
    </row>
    <row r="8" spans="1:26" ht="16.5">
      <c r="A8" s="1" t="s">
        <v>145</v>
      </c>
      <c r="B8" s="4">
        <f t="shared" ref="B8:Y8" si="1">SUM(B3:B7)</f>
        <v>3959568.9754333333</v>
      </c>
      <c r="C8" s="4">
        <f t="shared" si="1"/>
        <v>3919137.9508666662</v>
      </c>
      <c r="D8" s="4">
        <f t="shared" si="1"/>
        <v>3878706.9262999995</v>
      </c>
      <c r="E8" s="4">
        <f t="shared" si="1"/>
        <v>3831525.9017333328</v>
      </c>
      <c r="F8" s="4">
        <f t="shared" si="1"/>
        <v>3784344.8771666656</v>
      </c>
      <c r="G8" s="4">
        <f t="shared" si="1"/>
        <v>3714663.8525999989</v>
      </c>
      <c r="H8" s="4">
        <f t="shared" si="1"/>
        <v>3647163.1490833326</v>
      </c>
      <c r="I8" s="4">
        <f t="shared" si="1"/>
        <v>3579662.4455666658</v>
      </c>
      <c r="J8" s="4">
        <f t="shared" si="1"/>
        <v>3512161.7420499995</v>
      </c>
      <c r="K8" s="4">
        <f t="shared" si="1"/>
        <v>3444661.0385333332</v>
      </c>
      <c r="L8" s="4">
        <f t="shared" si="1"/>
        <v>3377160.3350166664</v>
      </c>
      <c r="M8" s="4">
        <f t="shared" si="1"/>
        <v>3279659.6315000001</v>
      </c>
      <c r="N8" s="4">
        <f t="shared" si="1"/>
        <v>3206158.9279833338</v>
      </c>
      <c r="O8" s="4">
        <f t="shared" si="1"/>
        <v>3132658.224466667</v>
      </c>
      <c r="P8" s="4">
        <f t="shared" si="1"/>
        <v>3059157.5209500007</v>
      </c>
      <c r="Q8" s="4">
        <f t="shared" si="1"/>
        <v>2985656.8174333344</v>
      </c>
      <c r="R8" s="4">
        <f t="shared" si="1"/>
        <v>2912156.1139166676</v>
      </c>
      <c r="S8" s="4">
        <f t="shared" si="1"/>
        <v>2808655.4104000013</v>
      </c>
      <c r="T8" s="4">
        <f t="shared" si="1"/>
        <v>2633579.6547953347</v>
      </c>
      <c r="U8" s="4">
        <f t="shared" si="1"/>
        <v>2458503.8991906676</v>
      </c>
      <c r="V8" s="4">
        <f t="shared" si="1"/>
        <v>2283428.1435860009</v>
      </c>
      <c r="W8" s="4">
        <f t="shared" si="1"/>
        <v>2006899.2363573343</v>
      </c>
      <c r="X8" s="4">
        <f t="shared" si="1"/>
        <v>1730370.3291286679</v>
      </c>
      <c r="Y8" s="4">
        <f t="shared" si="1"/>
        <v>1423841.4219000014</v>
      </c>
      <c r="Z8" s="4">
        <f t="shared" si="0"/>
        <v>1423841.4219000014</v>
      </c>
    </row>
    <row r="9" spans="1:26" ht="16.5">
      <c r="A9" s="1" t="s">
        <v>146</v>
      </c>
      <c r="B9" s="4">
        <f>Assumptions!$B$4+Summary!B$19</f>
        <v>4000000</v>
      </c>
      <c r="C9" s="4">
        <f>Assumptions!$B$4+Summary!B$19</f>
        <v>4000000</v>
      </c>
      <c r="D9" s="4">
        <f>Assumptions!$B$4+Summary!B$19</f>
        <v>4000000</v>
      </c>
      <c r="E9" s="4">
        <f>Assumptions!$B$4+Summary!B$19</f>
        <v>4000000</v>
      </c>
      <c r="F9" s="4">
        <f>Assumptions!$B$4+Summary!B$19</f>
        <v>4000000</v>
      </c>
      <c r="G9" s="4">
        <f>Assumptions!$B$4+Summary!B$19</f>
        <v>4000000</v>
      </c>
      <c r="H9" s="4">
        <f>Assumptions!$B$4+Summary!B$19</f>
        <v>4000000</v>
      </c>
      <c r="I9" s="4">
        <f>Assumptions!$B$4+Summary!B$19</f>
        <v>4000000</v>
      </c>
      <c r="J9" s="4">
        <f>Assumptions!$B$4+Summary!B$19</f>
        <v>4000000</v>
      </c>
      <c r="K9" s="4">
        <f>Assumptions!$B$4+Summary!B$19</f>
        <v>4000000</v>
      </c>
      <c r="L9" s="4">
        <f>Assumptions!$B$4+Summary!B$19</f>
        <v>4000000</v>
      </c>
      <c r="M9" s="4">
        <f>Assumptions!$B$4+Summary!B$19</f>
        <v>4000000</v>
      </c>
      <c r="N9" s="4">
        <f>Assumptions!$B$4+Summary!B$19</f>
        <v>4000000</v>
      </c>
      <c r="O9" s="4">
        <f>Assumptions!$B$4+Summary!B$19</f>
        <v>4000000</v>
      </c>
      <c r="P9" s="4">
        <f>Assumptions!$B$4+Summary!B$19</f>
        <v>4000000</v>
      </c>
      <c r="Q9" s="4">
        <f>Assumptions!$B$4+Summary!B$19</f>
        <v>4000000</v>
      </c>
      <c r="R9" s="4">
        <f>Assumptions!$B$4+Summary!B$19</f>
        <v>4000000</v>
      </c>
      <c r="S9" s="4">
        <f>Assumptions!$B$4+Summary!B$19</f>
        <v>4000000</v>
      </c>
      <c r="T9" s="4">
        <f>Assumptions!$B$4+Summary!B$19</f>
        <v>4000000</v>
      </c>
      <c r="U9" s="4">
        <f>Assumptions!$B$4+Summary!B$19</f>
        <v>4000000</v>
      </c>
      <c r="V9" s="4">
        <f>Assumptions!$B$4+Summary!B$19</f>
        <v>4000000</v>
      </c>
      <c r="W9" s="4">
        <f>Assumptions!$B$4+Summary!B$19</f>
        <v>4000000</v>
      </c>
      <c r="X9" s="4">
        <f>Assumptions!$B$4+Summary!B$19</f>
        <v>4000000</v>
      </c>
      <c r="Y9" s="4">
        <f>Assumptions!$B$4+Summary!B$19</f>
        <v>4000000</v>
      </c>
      <c r="Z9" s="4">
        <f t="shared" si="0"/>
        <v>4000000</v>
      </c>
    </row>
    <row r="10" spans="1:26" ht="16.5">
      <c r="A10" s="1" t="s">
        <v>147</v>
      </c>
      <c r="B10" s="4">
        <f>SUM('Income Statement'!B9:'Income Statement'!B9)</f>
        <v>-40431.024566666667</v>
      </c>
      <c r="C10" s="4">
        <f>SUM('Income Statement'!B9:'Income Statement'!C9)</f>
        <v>-80862.049133333334</v>
      </c>
      <c r="D10" s="4">
        <f>SUM('Income Statement'!B9:'Income Statement'!D9)</f>
        <v>-121293.07370000001</v>
      </c>
      <c r="E10" s="4">
        <f>SUM('Income Statement'!B9:'Income Statement'!E9)</f>
        <v>-168474.09826666667</v>
      </c>
      <c r="F10" s="4">
        <f>SUM('Income Statement'!B9:'Income Statement'!F9)</f>
        <v>-215655.12283333333</v>
      </c>
      <c r="G10" s="4">
        <f>SUM('Income Statement'!B9:'Income Statement'!G9)</f>
        <v>-285336.14740000002</v>
      </c>
      <c r="H10" s="4">
        <f>SUM('Income Statement'!B9:'Income Statement'!H9)</f>
        <v>-352836.85091666668</v>
      </c>
      <c r="I10" s="4">
        <f>SUM('Income Statement'!B9:'Income Statement'!I9)</f>
        <v>-420337.55443333334</v>
      </c>
      <c r="J10" s="4">
        <f>SUM('Income Statement'!B9:'Income Statement'!J9)</f>
        <v>-487838.25795</v>
      </c>
      <c r="K10" s="4">
        <f>SUM('Income Statement'!B9:'Income Statement'!K9)</f>
        <v>-555338.96146666666</v>
      </c>
      <c r="L10" s="4">
        <f>SUM('Income Statement'!B9:'Income Statement'!L9)</f>
        <v>-622839.66498333332</v>
      </c>
      <c r="M10" s="4">
        <f>SUM('Income Statement'!B9:'Income Statement'!M9)</f>
        <v>-720340.36849999998</v>
      </c>
      <c r="N10" s="4">
        <f>SUM('Income Statement'!B9:'Income Statement'!N9)</f>
        <v>-793841.07201666664</v>
      </c>
      <c r="O10" s="4">
        <f>SUM('Income Statement'!B9:'Income Statement'!O9)</f>
        <v>-867341.7755333333</v>
      </c>
      <c r="P10" s="4">
        <f>SUM('Income Statement'!B9:'Income Statement'!P9)</f>
        <v>-940842.47904999997</v>
      </c>
      <c r="Q10" s="4">
        <f>SUM('Income Statement'!B9:'Income Statement'!Q9)</f>
        <v>-1014343.1825666666</v>
      </c>
      <c r="R10" s="4">
        <f>SUM('Income Statement'!B9:'Income Statement'!R9)</f>
        <v>-1087843.8860833333</v>
      </c>
      <c r="S10" s="4">
        <f>SUM('Income Statement'!B9:'Income Statement'!S9)</f>
        <v>-1191344.5896000001</v>
      </c>
      <c r="T10" s="4">
        <f>SUM('Income Statement'!B9:'Income Statement'!T9)</f>
        <v>-1366420.3452046667</v>
      </c>
      <c r="U10" s="4">
        <f>SUM('Income Statement'!B9:'Income Statement'!U9)</f>
        <v>-1541496.1008093334</v>
      </c>
      <c r="V10" s="4">
        <f>SUM('Income Statement'!B9:'Income Statement'!V9)</f>
        <v>-1716571.856414</v>
      </c>
      <c r="W10" s="4">
        <f>SUM('Income Statement'!B9:'Income Statement'!W9)</f>
        <v>-1993100.7636426666</v>
      </c>
      <c r="X10" s="4">
        <f>SUM('Income Statement'!B9:'Income Statement'!X9)</f>
        <v>-2269629.6708713332</v>
      </c>
      <c r="Y10" s="4">
        <f>SUM('Income Statement'!B9:'Income Statement'!Y9)</f>
        <v>-2576158.5781</v>
      </c>
      <c r="Z10" s="4">
        <f t="shared" si="0"/>
        <v>-2576158.5781</v>
      </c>
    </row>
    <row r="11" spans="1:26" ht="16.5">
      <c r="A11" s="1" t="s">
        <v>148</v>
      </c>
      <c r="B11" s="4">
        <f t="shared" ref="B11:Y11" si="2">B8-B9-B10</f>
        <v>0</v>
      </c>
      <c r="C11" s="4">
        <f t="shared" si="2"/>
        <v>-5.0931703299283981E-10</v>
      </c>
      <c r="D11" s="4">
        <f t="shared" si="2"/>
        <v>-5.2386894822120667E-10</v>
      </c>
      <c r="E11" s="4">
        <f t="shared" si="2"/>
        <v>-5.5297277867794037E-10</v>
      </c>
      <c r="F11" s="4">
        <f t="shared" si="2"/>
        <v>-1.0477378964424133E-9</v>
      </c>
      <c r="G11" s="4">
        <f t="shared" si="2"/>
        <v>-1.0477378964424133E-9</v>
      </c>
      <c r="H11" s="4">
        <f t="shared" si="2"/>
        <v>-6.9849193096160889E-10</v>
      </c>
      <c r="I11" s="4">
        <f t="shared" si="2"/>
        <v>-8.149072527885437E-10</v>
      </c>
      <c r="J11" s="4">
        <f t="shared" si="2"/>
        <v>-4.6566128730773926E-10</v>
      </c>
      <c r="K11" s="4">
        <f t="shared" si="2"/>
        <v>0</v>
      </c>
      <c r="L11" s="4">
        <f t="shared" si="2"/>
        <v>0</v>
      </c>
      <c r="M11" s="4">
        <f t="shared" si="2"/>
        <v>0</v>
      </c>
      <c r="N11" s="4">
        <f t="shared" si="2"/>
        <v>0</v>
      </c>
      <c r="O11" s="4">
        <f t="shared" si="2"/>
        <v>0</v>
      </c>
      <c r="P11" s="4">
        <f t="shared" si="2"/>
        <v>0</v>
      </c>
      <c r="Q11" s="4">
        <f t="shared" si="2"/>
        <v>1.0477378964424133E-9</v>
      </c>
      <c r="R11" s="4">
        <f t="shared" si="2"/>
        <v>0</v>
      </c>
      <c r="S11" s="4">
        <f t="shared" si="2"/>
        <v>0</v>
      </c>
      <c r="T11" s="4">
        <f t="shared" si="2"/>
        <v>0</v>
      </c>
      <c r="U11" s="4">
        <f t="shared" si="2"/>
        <v>0</v>
      </c>
      <c r="V11" s="4">
        <f t="shared" si="2"/>
        <v>0</v>
      </c>
      <c r="W11" s="4">
        <f t="shared" si="2"/>
        <v>0</v>
      </c>
      <c r="X11" s="4">
        <f t="shared" si="2"/>
        <v>0</v>
      </c>
      <c r="Y11" s="4">
        <f t="shared" si="2"/>
        <v>0</v>
      </c>
      <c r="Z11" s="4">
        <f t="shared" si="0"/>
        <v>0</v>
      </c>
    </row>
    <row r="19" spans="1:26" ht="18">
      <c r="A19" s="6" t="s">
        <v>3</v>
      </c>
    </row>
    <row r="20" spans="1:26" ht="33">
      <c r="A20" s="1" t="s">
        <v>104</v>
      </c>
      <c r="B20" s="11">
        <f>EDATE(Assumptions!$B$3,0)</f>
        <v>46327</v>
      </c>
      <c r="C20" s="11">
        <f>EDATE(Assumptions!$B$3,1)</f>
        <v>46357</v>
      </c>
      <c r="D20" s="11">
        <f>EDATE(Assumptions!$B$3,2)</f>
        <v>46388</v>
      </c>
      <c r="E20" s="11">
        <f>EDATE(Assumptions!$B$3,3)</f>
        <v>46419</v>
      </c>
      <c r="F20" s="11">
        <f>EDATE(Assumptions!$B$3,4)</f>
        <v>46447</v>
      </c>
      <c r="G20" s="11">
        <f>EDATE(Assumptions!$B$3,5)</f>
        <v>46478</v>
      </c>
      <c r="H20" s="11">
        <f>EDATE(Assumptions!$B$3,6)</f>
        <v>46508</v>
      </c>
      <c r="I20" s="11">
        <f>EDATE(Assumptions!$B$3,7)</f>
        <v>46539</v>
      </c>
      <c r="J20" s="11">
        <f>EDATE(Assumptions!$B$3,8)</f>
        <v>46569</v>
      </c>
      <c r="K20" s="11">
        <f>EDATE(Assumptions!$B$3,9)</f>
        <v>46600</v>
      </c>
      <c r="L20" s="11">
        <f>EDATE(Assumptions!$B$3,10)</f>
        <v>46631</v>
      </c>
      <c r="M20" s="11">
        <f>EDATE(Assumptions!$B$3,11)</f>
        <v>46661</v>
      </c>
      <c r="N20" s="11">
        <f>EDATE(Assumptions!$B$3,12)</f>
        <v>46692</v>
      </c>
      <c r="O20" s="11">
        <f>EDATE(Assumptions!$B$3,13)</f>
        <v>46722</v>
      </c>
      <c r="P20" s="11">
        <f>EDATE(Assumptions!$B$3,14)</f>
        <v>46753</v>
      </c>
      <c r="Q20" s="11">
        <f>EDATE(Assumptions!$B$3,15)</f>
        <v>46784</v>
      </c>
      <c r="R20" s="11">
        <f>EDATE(Assumptions!$B$3,16)</f>
        <v>46813</v>
      </c>
      <c r="S20" s="11">
        <f>EDATE(Assumptions!$B$3,17)</f>
        <v>46844</v>
      </c>
      <c r="T20" s="11">
        <f>EDATE(Assumptions!$B$3,18)</f>
        <v>46874</v>
      </c>
      <c r="U20" s="11">
        <f>EDATE(Assumptions!$B$3,19)</f>
        <v>46905</v>
      </c>
      <c r="V20" s="11">
        <f>EDATE(Assumptions!$B$3,20)</f>
        <v>46935</v>
      </c>
      <c r="W20" s="11">
        <f>EDATE(Assumptions!$B$3,21)</f>
        <v>46966</v>
      </c>
      <c r="X20" s="11">
        <f>EDATE(Assumptions!$B$3,22)</f>
        <v>46997</v>
      </c>
      <c r="Y20" s="11">
        <f>EDATE(Assumptions!$B$3,23)</f>
        <v>47027</v>
      </c>
      <c r="Z20" s="1" t="s">
        <v>105</v>
      </c>
    </row>
    <row r="21" spans="1:26" ht="16.5">
      <c r="A21" s="1" t="s">
        <v>140</v>
      </c>
      <c r="B21" s="4">
        <f>'Cash Flow'!B53</f>
        <v>8878221.2841999996</v>
      </c>
      <c r="C21" s="4">
        <f>'Cash Flow'!C53</f>
        <v>8806442.5683999993</v>
      </c>
      <c r="D21" s="4">
        <f>'Cash Flow'!D53</f>
        <v>8734663.8525999989</v>
      </c>
      <c r="E21" s="4">
        <f>'Cash Flow'!E53</f>
        <v>8653885.1367999986</v>
      </c>
      <c r="F21" s="4">
        <f>'Cash Flow'!F53</f>
        <v>8573106.4209999982</v>
      </c>
      <c r="G21" s="4">
        <f>'Cash Flow'!G53</f>
        <v>8462327.7051999979</v>
      </c>
      <c r="H21" s="4">
        <f>'Cash Flow'!H53</f>
        <v>8326622.7507999977</v>
      </c>
      <c r="I21" s="4">
        <f>'Cash Flow'!I53</f>
        <v>8220917.7963999975</v>
      </c>
      <c r="J21" s="4">
        <f>'Cash Flow'!J53</f>
        <v>8115212.8419999974</v>
      </c>
      <c r="K21" s="4">
        <f>'Cash Flow'!K53</f>
        <v>8009507.8875999972</v>
      </c>
      <c r="L21" s="4">
        <f>'Cash Flow'!L53</f>
        <v>7903802.9331999971</v>
      </c>
      <c r="M21" s="4">
        <f>'Cash Flow'!M53</f>
        <v>7758097.9787999969</v>
      </c>
      <c r="N21" s="4">
        <f>'Cash Flow'!N53</f>
        <v>7644393.0243999967</v>
      </c>
      <c r="O21" s="4">
        <f>'Cash Flow'!O53</f>
        <v>7530688.0699999966</v>
      </c>
      <c r="P21" s="4">
        <f>'Cash Flow'!P53</f>
        <v>7416983.1155999964</v>
      </c>
      <c r="Q21" s="4">
        <f>'Cash Flow'!Q53</f>
        <v>7303278.1611999962</v>
      </c>
      <c r="R21" s="4">
        <f>'Cash Flow'!R53</f>
        <v>7189573.2067999961</v>
      </c>
      <c r="S21" s="4">
        <f>'Cash Flow'!S53</f>
        <v>7035868.2523999959</v>
      </c>
      <c r="T21" s="4">
        <f>'Cash Flow'!T53</f>
        <v>6583579.7910399958</v>
      </c>
      <c r="U21" s="4">
        <f>'Cash Flow'!U53</f>
        <v>6131291.3296799958</v>
      </c>
      <c r="V21" s="4">
        <f>'Cash Flow'!V53</f>
        <v>5679002.8683199957</v>
      </c>
      <c r="W21" s="4">
        <f>'Cash Flow'!W53</f>
        <v>4888537.2348799957</v>
      </c>
      <c r="X21" s="4">
        <f>'Cash Flow'!X53</f>
        <v>4098071.6014399957</v>
      </c>
      <c r="Y21" s="4">
        <f>'Cash Flow'!Y53</f>
        <v>3267605.9679999957</v>
      </c>
      <c r="Z21" s="4">
        <f t="shared" ref="Z21:Z29" si="3">Y21</f>
        <v>3267605.9679999957</v>
      </c>
    </row>
    <row r="22" spans="1:26" ht="16.5">
      <c r="A22" s="1" t="s">
        <v>141</v>
      </c>
      <c r="B22" s="4">
        <f>'Cash Flow'!B56</f>
        <v>0</v>
      </c>
      <c r="C22" s="4">
        <f>'Cash Flow'!C56</f>
        <v>0</v>
      </c>
      <c r="D22" s="4">
        <f>'Cash Flow'!D56</f>
        <v>0</v>
      </c>
      <c r="E22" s="4">
        <f>'Cash Flow'!E56</f>
        <v>0</v>
      </c>
      <c r="F22" s="4">
        <f>'Cash Flow'!F56</f>
        <v>0</v>
      </c>
      <c r="G22" s="4">
        <f>'Cash Flow'!G56</f>
        <v>0</v>
      </c>
      <c r="H22" s="4">
        <f>'Cash Flow'!H56</f>
        <v>0</v>
      </c>
      <c r="I22" s="4">
        <f>'Cash Flow'!I56</f>
        <v>0</v>
      </c>
      <c r="J22" s="4">
        <f>'Cash Flow'!J56</f>
        <v>0</v>
      </c>
      <c r="K22" s="4">
        <f>'Cash Flow'!K56</f>
        <v>0</v>
      </c>
      <c r="L22" s="4">
        <f>'Cash Flow'!L56</f>
        <v>0</v>
      </c>
      <c r="M22" s="4">
        <f>'Cash Flow'!M56</f>
        <v>0</v>
      </c>
      <c r="N22" s="4">
        <f>'Cash Flow'!N56</f>
        <v>0</v>
      </c>
      <c r="O22" s="4">
        <f>'Cash Flow'!O56</f>
        <v>0</v>
      </c>
      <c r="P22" s="4">
        <f>'Cash Flow'!P56</f>
        <v>0</v>
      </c>
      <c r="Q22" s="4">
        <f>'Cash Flow'!Q56</f>
        <v>0</v>
      </c>
      <c r="R22" s="4">
        <f>'Cash Flow'!R56</f>
        <v>0</v>
      </c>
      <c r="S22" s="4">
        <f>'Cash Flow'!S56</f>
        <v>0</v>
      </c>
      <c r="T22" s="4">
        <f>'Cash Flow'!T56</f>
        <v>0</v>
      </c>
      <c r="U22" s="4">
        <f>'Cash Flow'!U56</f>
        <v>0</v>
      </c>
      <c r="V22" s="4">
        <f>'Cash Flow'!V56</f>
        <v>0</v>
      </c>
      <c r="W22" s="4">
        <f>'Cash Flow'!W56</f>
        <v>0</v>
      </c>
      <c r="X22" s="4">
        <f>'Cash Flow'!X56</f>
        <v>0</v>
      </c>
      <c r="Y22" s="4">
        <f>'Cash Flow'!Y56</f>
        <v>0</v>
      </c>
      <c r="Z22" s="4">
        <f t="shared" si="3"/>
        <v>0</v>
      </c>
    </row>
    <row r="23" spans="1:26" ht="16.5">
      <c r="A23" s="1" t="s">
        <v>142</v>
      </c>
      <c r="B23" s="4">
        <f>'Cash Flow'!B55</f>
        <v>0</v>
      </c>
      <c r="C23" s="4">
        <f>'Cash Flow'!C55</f>
        <v>0</v>
      </c>
      <c r="D23" s="4">
        <f>'Cash Flow'!D55</f>
        <v>0</v>
      </c>
      <c r="E23" s="4">
        <f>'Cash Flow'!E55</f>
        <v>0</v>
      </c>
      <c r="F23" s="4">
        <f>'Cash Flow'!F55</f>
        <v>0</v>
      </c>
      <c r="G23" s="4">
        <f>'Cash Flow'!G55</f>
        <v>0</v>
      </c>
      <c r="H23" s="4">
        <f>'Cash Flow'!H55</f>
        <v>0</v>
      </c>
      <c r="I23" s="4">
        <f>'Cash Flow'!I55</f>
        <v>0</v>
      </c>
      <c r="J23" s="4">
        <f>'Cash Flow'!J55</f>
        <v>0</v>
      </c>
      <c r="K23" s="4">
        <f>'Cash Flow'!K55</f>
        <v>0</v>
      </c>
      <c r="L23" s="4">
        <f>'Cash Flow'!L55</f>
        <v>0</v>
      </c>
      <c r="M23" s="4">
        <f>'Cash Flow'!M55</f>
        <v>0</v>
      </c>
      <c r="N23" s="4">
        <f>'Cash Flow'!N55</f>
        <v>0</v>
      </c>
      <c r="O23" s="4">
        <f>'Cash Flow'!O55</f>
        <v>0</v>
      </c>
      <c r="P23" s="4">
        <f>'Cash Flow'!P55</f>
        <v>0</v>
      </c>
      <c r="Q23" s="4">
        <f>'Cash Flow'!Q55</f>
        <v>0</v>
      </c>
      <c r="R23" s="4">
        <f>'Cash Flow'!R55</f>
        <v>0</v>
      </c>
      <c r="S23" s="4">
        <f>'Cash Flow'!S55</f>
        <v>0</v>
      </c>
      <c r="T23" s="4">
        <f>'Cash Flow'!T55</f>
        <v>0</v>
      </c>
      <c r="U23" s="4">
        <f>'Cash Flow'!U55</f>
        <v>0</v>
      </c>
      <c r="V23" s="4">
        <f>'Cash Flow'!V55</f>
        <v>0</v>
      </c>
      <c r="W23" s="4">
        <f>'Cash Flow'!W55</f>
        <v>0</v>
      </c>
      <c r="X23" s="4">
        <f>'Cash Flow'!X55</f>
        <v>0</v>
      </c>
      <c r="Y23" s="4">
        <f>'Cash Flow'!Y55</f>
        <v>0</v>
      </c>
      <c r="Z23" s="4">
        <f t="shared" si="3"/>
        <v>0</v>
      </c>
    </row>
    <row r="24" spans="1:26" ht="16.5">
      <c r="A24" s="1" t="s">
        <v>143</v>
      </c>
      <c r="B24" s="4">
        <f>'Cash Flow'!B54</f>
        <v>0</v>
      </c>
      <c r="C24" s="4">
        <f>'Cash Flow'!C54</f>
        <v>0</v>
      </c>
      <c r="D24" s="4">
        <f>'Cash Flow'!D54</f>
        <v>0</v>
      </c>
      <c r="E24" s="4">
        <f>'Cash Flow'!E54</f>
        <v>0</v>
      </c>
      <c r="F24" s="4">
        <f>'Cash Flow'!F54</f>
        <v>0</v>
      </c>
      <c r="G24" s="4">
        <f>'Cash Flow'!G54</f>
        <v>0</v>
      </c>
      <c r="H24" s="4">
        <f>'Cash Flow'!H54</f>
        <v>0</v>
      </c>
      <c r="I24" s="4">
        <f>'Cash Flow'!I54</f>
        <v>0</v>
      </c>
      <c r="J24" s="4">
        <f>'Cash Flow'!J54</f>
        <v>0</v>
      </c>
      <c r="K24" s="4">
        <f>'Cash Flow'!K54</f>
        <v>0</v>
      </c>
      <c r="L24" s="4">
        <f>'Cash Flow'!L54</f>
        <v>0</v>
      </c>
      <c r="M24" s="4">
        <f>'Cash Flow'!M54</f>
        <v>0</v>
      </c>
      <c r="N24" s="4">
        <f>'Cash Flow'!N54</f>
        <v>0</v>
      </c>
      <c r="O24" s="4">
        <f>'Cash Flow'!O54</f>
        <v>0</v>
      </c>
      <c r="P24" s="4">
        <f>'Cash Flow'!P54</f>
        <v>0</v>
      </c>
      <c r="Q24" s="4">
        <f>'Cash Flow'!Q54</f>
        <v>0</v>
      </c>
      <c r="R24" s="4">
        <f>'Cash Flow'!R54</f>
        <v>0</v>
      </c>
      <c r="S24" s="4">
        <f>'Cash Flow'!S54</f>
        <v>0</v>
      </c>
      <c r="T24" s="4">
        <f>'Cash Flow'!T54</f>
        <v>0</v>
      </c>
      <c r="U24" s="4">
        <f>'Cash Flow'!U54</f>
        <v>0</v>
      </c>
      <c r="V24" s="4">
        <f>'Cash Flow'!V54</f>
        <v>0</v>
      </c>
      <c r="W24" s="4">
        <f>'Cash Flow'!W54</f>
        <v>0</v>
      </c>
      <c r="X24" s="4">
        <f>'Cash Flow'!X54</f>
        <v>0</v>
      </c>
      <c r="Y24" s="4">
        <f>'Cash Flow'!Y54</f>
        <v>0</v>
      </c>
      <c r="Z24" s="4">
        <f t="shared" si="3"/>
        <v>0</v>
      </c>
    </row>
    <row r="25" spans="1:26" ht="16.5">
      <c r="A25" s="1" t="s">
        <v>144</v>
      </c>
      <c r="B25" s="4">
        <f>'Cash Flow'!B57</f>
        <v>48611.111111111109</v>
      </c>
      <c r="C25" s="4">
        <f>'Cash Flow'!C57</f>
        <v>47222.222222222219</v>
      </c>
      <c r="D25" s="4">
        <f>'Cash Flow'!D57</f>
        <v>45833.333333333336</v>
      </c>
      <c r="E25" s="4">
        <f>'Cash Flow'!E57</f>
        <v>44444.444444444445</v>
      </c>
      <c r="F25" s="4">
        <f>'Cash Flow'!F57</f>
        <v>43055.555555555555</v>
      </c>
      <c r="G25" s="4">
        <f>'Cash Flow'!G57</f>
        <v>41666.666666666664</v>
      </c>
      <c r="H25" s="4">
        <f>'Cash Flow'!H57</f>
        <v>69444.444444444438</v>
      </c>
      <c r="I25" s="4">
        <f>'Cash Flow'!I57</f>
        <v>67222.222222222219</v>
      </c>
      <c r="J25" s="4">
        <f>'Cash Flow'!J57</f>
        <v>65000</v>
      </c>
      <c r="K25" s="4">
        <f>'Cash Flow'!K57</f>
        <v>62777.777777777781</v>
      </c>
      <c r="L25" s="4">
        <f>'Cash Flow'!L57</f>
        <v>60555.555555555555</v>
      </c>
      <c r="M25" s="4">
        <f>'Cash Flow'!M57</f>
        <v>58333.333333333328</v>
      </c>
      <c r="N25" s="4">
        <f>'Cash Flow'!N57</f>
        <v>56111.111111111109</v>
      </c>
      <c r="O25" s="4">
        <f>'Cash Flow'!O57</f>
        <v>53888.888888888891</v>
      </c>
      <c r="P25" s="4">
        <f>'Cash Flow'!P57</f>
        <v>51666.666666666664</v>
      </c>
      <c r="Q25" s="4">
        <f>'Cash Flow'!Q57</f>
        <v>49444.444444444438</v>
      </c>
      <c r="R25" s="4">
        <f>'Cash Flow'!R57</f>
        <v>47222.222222222219</v>
      </c>
      <c r="S25" s="4">
        <f>'Cash Flow'!S57</f>
        <v>45000</v>
      </c>
      <c r="T25" s="4">
        <f>'Cash Flow'!T57</f>
        <v>42777.777777777781</v>
      </c>
      <c r="U25" s="4">
        <f>'Cash Flow'!U57</f>
        <v>40555.555555555562</v>
      </c>
      <c r="V25" s="4">
        <f>'Cash Flow'!V57</f>
        <v>38333.333333333343</v>
      </c>
      <c r="W25" s="4">
        <f>'Cash Flow'!W57</f>
        <v>36111.111111111124</v>
      </c>
      <c r="X25" s="4">
        <f>'Cash Flow'!X57</f>
        <v>33888.888888888905</v>
      </c>
      <c r="Y25" s="4">
        <f>'Cash Flow'!Y57</f>
        <v>31666.666666666686</v>
      </c>
      <c r="Z25" s="4">
        <f t="shared" si="3"/>
        <v>31666.666666666686</v>
      </c>
    </row>
    <row r="26" spans="1:26" ht="16.5">
      <c r="A26" s="1" t="s">
        <v>145</v>
      </c>
      <c r="B26" s="4">
        <f t="shared" ref="B26:Y26" si="4">SUM(B21:B25)</f>
        <v>8926832.3953111116</v>
      </c>
      <c r="C26" s="4">
        <f t="shared" si="4"/>
        <v>8853664.7906222213</v>
      </c>
      <c r="D26" s="4">
        <f t="shared" si="4"/>
        <v>8780497.1859333329</v>
      </c>
      <c r="E26" s="4">
        <f t="shared" si="4"/>
        <v>8698329.5812444426</v>
      </c>
      <c r="F26" s="4">
        <f t="shared" si="4"/>
        <v>8616161.9765555542</v>
      </c>
      <c r="G26" s="4">
        <f t="shared" si="4"/>
        <v>8503994.3718666639</v>
      </c>
      <c r="H26" s="4">
        <f t="shared" si="4"/>
        <v>8396067.1952444427</v>
      </c>
      <c r="I26" s="4">
        <f t="shared" si="4"/>
        <v>8288140.0186222196</v>
      </c>
      <c r="J26" s="4">
        <f t="shared" si="4"/>
        <v>8180212.8419999974</v>
      </c>
      <c r="K26" s="4">
        <f t="shared" si="4"/>
        <v>8072285.6653777752</v>
      </c>
      <c r="L26" s="4">
        <f t="shared" si="4"/>
        <v>7964358.488755553</v>
      </c>
      <c r="M26" s="4">
        <f t="shared" si="4"/>
        <v>7816431.3121333299</v>
      </c>
      <c r="N26" s="4">
        <f t="shared" si="4"/>
        <v>7700504.1355111077</v>
      </c>
      <c r="O26" s="4">
        <f t="shared" si="4"/>
        <v>7584576.9588888856</v>
      </c>
      <c r="P26" s="4">
        <f t="shared" si="4"/>
        <v>7468649.7822666634</v>
      </c>
      <c r="Q26" s="4">
        <f t="shared" si="4"/>
        <v>7352722.6056444403</v>
      </c>
      <c r="R26" s="4">
        <f t="shared" si="4"/>
        <v>7236795.4290222181</v>
      </c>
      <c r="S26" s="4">
        <f t="shared" si="4"/>
        <v>7080868.2523999959</v>
      </c>
      <c r="T26" s="4">
        <f t="shared" si="4"/>
        <v>6626357.5688177738</v>
      </c>
      <c r="U26" s="4">
        <f t="shared" si="4"/>
        <v>6171846.8852355517</v>
      </c>
      <c r="V26" s="4">
        <f t="shared" si="4"/>
        <v>5717336.2016533287</v>
      </c>
      <c r="W26" s="4">
        <f t="shared" si="4"/>
        <v>4924648.3459911067</v>
      </c>
      <c r="X26" s="4">
        <f t="shared" si="4"/>
        <v>4131960.4903288847</v>
      </c>
      <c r="Y26" s="4">
        <f t="shared" si="4"/>
        <v>3299272.6346666622</v>
      </c>
      <c r="Z26" s="4">
        <f t="shared" si="3"/>
        <v>3299272.6346666622</v>
      </c>
    </row>
    <row r="27" spans="1:26" ht="16.5">
      <c r="A27" s="1" t="s">
        <v>146</v>
      </c>
      <c r="B27" s="4">
        <f>Assumptions!$B$4+Summary!C$19</f>
        <v>9000000</v>
      </c>
      <c r="C27" s="4">
        <f>Assumptions!$B$4+Summary!C$19</f>
        <v>9000000</v>
      </c>
      <c r="D27" s="4">
        <f>Assumptions!$B$4+Summary!C$19</f>
        <v>9000000</v>
      </c>
      <c r="E27" s="4">
        <f>Assumptions!$B$4+Summary!C$19</f>
        <v>9000000</v>
      </c>
      <c r="F27" s="4">
        <f>Assumptions!$B$4+Summary!C$19</f>
        <v>9000000</v>
      </c>
      <c r="G27" s="4">
        <f>Assumptions!$B$4+Summary!C$19</f>
        <v>9000000</v>
      </c>
      <c r="H27" s="4">
        <f>Assumptions!$B$4+Summary!C$19</f>
        <v>9000000</v>
      </c>
      <c r="I27" s="4">
        <f>Assumptions!$B$4+Summary!C$19</f>
        <v>9000000</v>
      </c>
      <c r="J27" s="4">
        <f>Assumptions!$B$4+Summary!C$19</f>
        <v>9000000</v>
      </c>
      <c r="K27" s="4">
        <f>Assumptions!$B$4+Summary!C$19</f>
        <v>9000000</v>
      </c>
      <c r="L27" s="4">
        <f>Assumptions!$B$4+Summary!C$19</f>
        <v>9000000</v>
      </c>
      <c r="M27" s="4">
        <f>Assumptions!$B$4+Summary!C$19</f>
        <v>9000000</v>
      </c>
      <c r="N27" s="4">
        <f>Assumptions!$B$4+Summary!C$19</f>
        <v>9000000</v>
      </c>
      <c r="O27" s="4">
        <f>Assumptions!$B$4+Summary!C$19</f>
        <v>9000000</v>
      </c>
      <c r="P27" s="4">
        <f>Assumptions!$B$4+Summary!C$19</f>
        <v>9000000</v>
      </c>
      <c r="Q27" s="4">
        <f>Assumptions!$B$4+Summary!C$19</f>
        <v>9000000</v>
      </c>
      <c r="R27" s="4">
        <f>Assumptions!$B$4+Summary!C$19</f>
        <v>9000000</v>
      </c>
      <c r="S27" s="4">
        <f>Assumptions!$B$4+Summary!C$19</f>
        <v>9000000</v>
      </c>
      <c r="T27" s="4">
        <f>Assumptions!$B$4+Summary!C$19</f>
        <v>9000000</v>
      </c>
      <c r="U27" s="4">
        <f>Assumptions!$B$4+Summary!C$19</f>
        <v>9000000</v>
      </c>
      <c r="V27" s="4">
        <f>Assumptions!$B$4+Summary!C$19</f>
        <v>9000000</v>
      </c>
      <c r="W27" s="4">
        <f>Assumptions!$B$4+Summary!C$19</f>
        <v>9000000</v>
      </c>
      <c r="X27" s="4">
        <f>Assumptions!$B$4+Summary!C$19</f>
        <v>9000000</v>
      </c>
      <c r="Y27" s="4">
        <f>Assumptions!$B$4+Summary!C$19</f>
        <v>9000000</v>
      </c>
      <c r="Z27" s="4">
        <f t="shared" si="3"/>
        <v>9000000</v>
      </c>
    </row>
    <row r="28" spans="1:26" ht="16.5">
      <c r="A28" s="1" t="s">
        <v>147</v>
      </c>
      <c r="B28" s="4">
        <f>SUM('Income Statement'!B27:'Income Statement'!B27)</f>
        <v>-73167.604688888896</v>
      </c>
      <c r="C28" s="4">
        <f>SUM('Income Statement'!B27:'Income Statement'!C27)</f>
        <v>-146335.20937777779</v>
      </c>
      <c r="D28" s="4">
        <f>SUM('Income Statement'!B27:'Income Statement'!D27)</f>
        <v>-219502.8140666667</v>
      </c>
      <c r="E28" s="4">
        <f>SUM('Income Statement'!B27:'Income Statement'!E27)</f>
        <v>-301670.41875555558</v>
      </c>
      <c r="F28" s="4">
        <f>SUM('Income Statement'!B27:'Income Statement'!F27)</f>
        <v>-383838.02344444446</v>
      </c>
      <c r="G28" s="4">
        <f>SUM('Income Statement'!B27:'Income Statement'!G27)</f>
        <v>-496005.62813333335</v>
      </c>
      <c r="H28" s="4">
        <f>SUM('Income Statement'!B27:'Income Statement'!H27)</f>
        <v>-603932.80475555558</v>
      </c>
      <c r="I28" s="4">
        <f>SUM('Income Statement'!B27:'Income Statement'!I27)</f>
        <v>-711859.98137777776</v>
      </c>
      <c r="J28" s="4">
        <f>SUM('Income Statement'!B27:'Income Statement'!J27)</f>
        <v>-819787.15799999994</v>
      </c>
      <c r="K28" s="4">
        <f>SUM('Income Statement'!B27:'Income Statement'!K27)</f>
        <v>-927714.33462222212</v>
      </c>
      <c r="L28" s="4">
        <f>SUM('Income Statement'!B27:'Income Statement'!L27)</f>
        <v>-1035641.5112444443</v>
      </c>
      <c r="M28" s="4">
        <f>SUM('Income Statement'!B27:'Income Statement'!M27)</f>
        <v>-1183568.6878666666</v>
      </c>
      <c r="N28" s="4">
        <f>SUM('Income Statement'!B27:'Income Statement'!N27)</f>
        <v>-1299495.8644888888</v>
      </c>
      <c r="O28" s="4">
        <f>SUM('Income Statement'!B27:'Income Statement'!O27)</f>
        <v>-1415423.0411111109</v>
      </c>
      <c r="P28" s="4">
        <f>SUM('Income Statement'!B27:'Income Statement'!P27)</f>
        <v>-1531350.2177333331</v>
      </c>
      <c r="Q28" s="4">
        <f>SUM('Income Statement'!B27:'Income Statement'!Q27)</f>
        <v>-1647277.3943555553</v>
      </c>
      <c r="R28" s="4">
        <f>SUM('Income Statement'!B27:'Income Statement'!R27)</f>
        <v>-1763204.5709777775</v>
      </c>
      <c r="S28" s="4">
        <f>SUM('Income Statement'!B27:'Income Statement'!S27)</f>
        <v>-1919131.7475999997</v>
      </c>
      <c r="T28" s="4">
        <f>SUM('Income Statement'!B27:'Income Statement'!T27)</f>
        <v>-2373642.431182222</v>
      </c>
      <c r="U28" s="4">
        <f>SUM('Income Statement'!B27:'Income Statement'!U27)</f>
        <v>-2828153.1147644441</v>
      </c>
      <c r="V28" s="4">
        <f>SUM('Income Statement'!B27:'Income Statement'!V27)</f>
        <v>-3282663.7983466662</v>
      </c>
      <c r="W28" s="4">
        <f>SUM('Income Statement'!B27:'Income Statement'!W27)</f>
        <v>-4075351.6540088886</v>
      </c>
      <c r="X28" s="4">
        <f>SUM('Income Statement'!B27:'Income Statement'!X27)</f>
        <v>-4868039.5096711107</v>
      </c>
      <c r="Y28" s="4">
        <f>SUM('Income Statement'!B27:'Income Statement'!Y27)</f>
        <v>-5700727.3653333327</v>
      </c>
      <c r="Z28" s="4">
        <f t="shared" si="3"/>
        <v>-5700727.3653333327</v>
      </c>
    </row>
    <row r="29" spans="1:26" ht="16.5">
      <c r="A29" s="1" t="s">
        <v>148</v>
      </c>
      <c r="B29" s="4">
        <f t="shared" ref="B29:Y29" si="5">B26-B27-B28</f>
        <v>4.8021320253610611E-10</v>
      </c>
      <c r="C29" s="4">
        <f t="shared" si="5"/>
        <v>-9.0221874415874481E-10</v>
      </c>
      <c r="D29" s="4">
        <f t="shared" si="5"/>
        <v>-4.0745362639427185E-10</v>
      </c>
      <c r="E29" s="4">
        <f t="shared" si="5"/>
        <v>-1.8044374883174896E-9</v>
      </c>
      <c r="F29" s="4">
        <f t="shared" si="5"/>
        <v>-1.3387762010097504E-9</v>
      </c>
      <c r="G29" s="4">
        <f t="shared" si="5"/>
        <v>-2.7357600629329681E-9</v>
      </c>
      <c r="H29" s="4">
        <f t="shared" si="5"/>
        <v>-1.7462298274040222E-9</v>
      </c>
      <c r="I29" s="4">
        <f t="shared" si="5"/>
        <v>-2.6775524020195007E-9</v>
      </c>
      <c r="J29" s="4">
        <f t="shared" si="5"/>
        <v>-2.6775524020195007E-9</v>
      </c>
      <c r="K29" s="4">
        <f t="shared" si="5"/>
        <v>-2.6775524020195007E-9</v>
      </c>
      <c r="L29" s="4">
        <f t="shared" si="5"/>
        <v>-2.6775524020195007E-9</v>
      </c>
      <c r="M29" s="4">
        <f t="shared" si="5"/>
        <v>-3.4924596548080444E-9</v>
      </c>
      <c r="N29" s="4">
        <f t="shared" si="5"/>
        <v>-3.4924596548080444E-9</v>
      </c>
      <c r="O29" s="4">
        <f t="shared" si="5"/>
        <v>-3.4924596548080444E-9</v>
      </c>
      <c r="P29" s="4">
        <f t="shared" si="5"/>
        <v>-3.4924596548080444E-9</v>
      </c>
      <c r="Q29" s="4">
        <f t="shared" si="5"/>
        <v>-4.4237822294235229E-9</v>
      </c>
      <c r="R29" s="4">
        <f t="shared" si="5"/>
        <v>-4.4237822294235229E-9</v>
      </c>
      <c r="S29" s="4">
        <f t="shared" si="5"/>
        <v>-4.4237822294235229E-9</v>
      </c>
      <c r="T29" s="4">
        <f t="shared" si="5"/>
        <v>-4.1909515857696533E-9</v>
      </c>
      <c r="U29" s="4">
        <f t="shared" si="5"/>
        <v>-4.1909515857696533E-9</v>
      </c>
      <c r="V29" s="4">
        <f t="shared" si="5"/>
        <v>-5.1222741603851318E-9</v>
      </c>
      <c r="W29" s="4">
        <f t="shared" si="5"/>
        <v>-4.6566128730773926E-9</v>
      </c>
      <c r="X29" s="4">
        <f t="shared" si="5"/>
        <v>0</v>
      </c>
      <c r="Y29" s="4">
        <f t="shared" si="5"/>
        <v>0</v>
      </c>
      <c r="Z29" s="4">
        <f t="shared" si="3"/>
        <v>0</v>
      </c>
    </row>
    <row r="37" spans="1:26" ht="18">
      <c r="A37" s="6" t="s">
        <v>4</v>
      </c>
    </row>
    <row r="38" spans="1:26" ht="33">
      <c r="A38" s="1" t="s">
        <v>104</v>
      </c>
      <c r="B38" s="11">
        <f>EDATE(Assumptions!$B$3,0)</f>
        <v>46327</v>
      </c>
      <c r="C38" s="11">
        <f>EDATE(Assumptions!$B$3,1)</f>
        <v>46357</v>
      </c>
      <c r="D38" s="11">
        <f>EDATE(Assumptions!$B$3,2)</f>
        <v>46388</v>
      </c>
      <c r="E38" s="11">
        <f>EDATE(Assumptions!$B$3,3)</f>
        <v>46419</v>
      </c>
      <c r="F38" s="11">
        <f>EDATE(Assumptions!$B$3,4)</f>
        <v>46447</v>
      </c>
      <c r="G38" s="11">
        <f>EDATE(Assumptions!$B$3,5)</f>
        <v>46478</v>
      </c>
      <c r="H38" s="11">
        <f>EDATE(Assumptions!$B$3,6)</f>
        <v>46508</v>
      </c>
      <c r="I38" s="11">
        <f>EDATE(Assumptions!$B$3,7)</f>
        <v>46539</v>
      </c>
      <c r="J38" s="11">
        <f>EDATE(Assumptions!$B$3,8)</f>
        <v>46569</v>
      </c>
      <c r="K38" s="11">
        <f>EDATE(Assumptions!$B$3,9)</f>
        <v>46600</v>
      </c>
      <c r="L38" s="11">
        <f>EDATE(Assumptions!$B$3,10)</f>
        <v>46631</v>
      </c>
      <c r="M38" s="11">
        <f>EDATE(Assumptions!$B$3,11)</f>
        <v>46661</v>
      </c>
      <c r="N38" s="11">
        <f>EDATE(Assumptions!$B$3,12)</f>
        <v>46692</v>
      </c>
      <c r="O38" s="11">
        <f>EDATE(Assumptions!$B$3,13)</f>
        <v>46722</v>
      </c>
      <c r="P38" s="11">
        <f>EDATE(Assumptions!$B$3,14)</f>
        <v>46753</v>
      </c>
      <c r="Q38" s="11">
        <f>EDATE(Assumptions!$B$3,15)</f>
        <v>46784</v>
      </c>
      <c r="R38" s="11">
        <f>EDATE(Assumptions!$B$3,16)</f>
        <v>46813</v>
      </c>
      <c r="S38" s="11">
        <f>EDATE(Assumptions!$B$3,17)</f>
        <v>46844</v>
      </c>
      <c r="T38" s="11">
        <f>EDATE(Assumptions!$B$3,18)</f>
        <v>46874</v>
      </c>
      <c r="U38" s="11">
        <f>EDATE(Assumptions!$B$3,19)</f>
        <v>46905</v>
      </c>
      <c r="V38" s="11">
        <f>EDATE(Assumptions!$B$3,20)</f>
        <v>46935</v>
      </c>
      <c r="W38" s="11">
        <f>EDATE(Assumptions!$B$3,21)</f>
        <v>46966</v>
      </c>
      <c r="X38" s="11">
        <f>EDATE(Assumptions!$B$3,22)</f>
        <v>46997</v>
      </c>
      <c r="Y38" s="11">
        <f>EDATE(Assumptions!$B$3,23)</f>
        <v>47027</v>
      </c>
      <c r="Z38" s="1" t="s">
        <v>105</v>
      </c>
    </row>
    <row r="39" spans="1:26" ht="16.5">
      <c r="A39" s="1" t="s">
        <v>140</v>
      </c>
      <c r="B39" s="4">
        <f>'Cash Flow'!B86</f>
        <v>31308442.568399999</v>
      </c>
      <c r="C39" s="4">
        <f>'Cash Flow'!C86</f>
        <v>31191885.136799999</v>
      </c>
      <c r="D39" s="4">
        <f>'Cash Flow'!D86</f>
        <v>31075327.705199998</v>
      </c>
      <c r="E39" s="4">
        <f>'Cash Flow'!E86</f>
        <v>30945270.273599997</v>
      </c>
      <c r="F39" s="4">
        <f>'Cash Flow'!F86</f>
        <v>30815212.841999996</v>
      </c>
      <c r="G39" s="4">
        <f>'Cash Flow'!G86</f>
        <v>30640155.410399996</v>
      </c>
      <c r="H39" s="4">
        <f>'Cash Flow'!H86</f>
        <v>30433708.620899994</v>
      </c>
      <c r="I39" s="4">
        <f>'Cash Flow'!I86</f>
        <v>30272261.831399992</v>
      </c>
      <c r="J39" s="4">
        <f>'Cash Flow'!J86</f>
        <v>30110815.04189999</v>
      </c>
      <c r="K39" s="4">
        <f>'Cash Flow'!K86</f>
        <v>29949368.252399988</v>
      </c>
      <c r="L39" s="4">
        <f>'Cash Flow'!L86</f>
        <v>29787921.462899987</v>
      </c>
      <c r="M39" s="4">
        <f>'Cash Flow'!M86</f>
        <v>29566474.673399985</v>
      </c>
      <c r="N39" s="4">
        <f>'Cash Flow'!N86</f>
        <v>29393027.883899983</v>
      </c>
      <c r="O39" s="4">
        <f>'Cash Flow'!O86</f>
        <v>29219581.094399981</v>
      </c>
      <c r="P39" s="4">
        <f>'Cash Flow'!P86</f>
        <v>29046134.304899979</v>
      </c>
      <c r="Q39" s="4">
        <f>'Cash Flow'!Q86</f>
        <v>28872687.515399978</v>
      </c>
      <c r="R39" s="4">
        <f>'Cash Flow'!R86</f>
        <v>28699240.725899976</v>
      </c>
      <c r="S39" s="4">
        <f>'Cash Flow'!S86</f>
        <v>28465793.936399974</v>
      </c>
      <c r="T39" s="4">
        <f>'Cash Flow'!T86</f>
        <v>26599429.612099975</v>
      </c>
      <c r="U39" s="4">
        <f>'Cash Flow'!U86</f>
        <v>24733065.287799977</v>
      </c>
      <c r="V39" s="4">
        <f>'Cash Flow'!V86</f>
        <v>22866700.963499978</v>
      </c>
      <c r="W39" s="4">
        <f>'Cash Flow'!W86</f>
        <v>19309450.778799977</v>
      </c>
      <c r="X39" s="4">
        <f>'Cash Flow'!X86</f>
        <v>15752200.594099976</v>
      </c>
      <c r="Y39" s="4">
        <f>'Cash Flow'!Y86</f>
        <v>12134950.409399975</v>
      </c>
      <c r="Z39" s="4">
        <f t="shared" ref="Z39:Z47" si="6">Y39</f>
        <v>12134950.409399975</v>
      </c>
    </row>
    <row r="40" spans="1:26" ht="16.5">
      <c r="A40" s="1" t="s">
        <v>141</v>
      </c>
      <c r="B40" s="4">
        <f>'Cash Flow'!B89</f>
        <v>0</v>
      </c>
      <c r="C40" s="4">
        <f>'Cash Flow'!C89</f>
        <v>0</v>
      </c>
      <c r="D40" s="4">
        <f>'Cash Flow'!D89</f>
        <v>0</v>
      </c>
      <c r="E40" s="4">
        <f>'Cash Flow'!E89</f>
        <v>0</v>
      </c>
      <c r="F40" s="4">
        <f>'Cash Flow'!F89</f>
        <v>0</v>
      </c>
      <c r="G40" s="4">
        <f>'Cash Flow'!G89</f>
        <v>0</v>
      </c>
      <c r="H40" s="4">
        <f>'Cash Flow'!H89</f>
        <v>0</v>
      </c>
      <c r="I40" s="4">
        <f>'Cash Flow'!I89</f>
        <v>0</v>
      </c>
      <c r="J40" s="4">
        <f>'Cash Flow'!J89</f>
        <v>0</v>
      </c>
      <c r="K40" s="4">
        <f>'Cash Flow'!K89</f>
        <v>0</v>
      </c>
      <c r="L40" s="4">
        <f>'Cash Flow'!L89</f>
        <v>0</v>
      </c>
      <c r="M40" s="4">
        <f>'Cash Flow'!M89</f>
        <v>0</v>
      </c>
      <c r="N40" s="4">
        <f>'Cash Flow'!N89</f>
        <v>0</v>
      </c>
      <c r="O40" s="4">
        <f>'Cash Flow'!O89</f>
        <v>0</v>
      </c>
      <c r="P40" s="4">
        <f>'Cash Flow'!P89</f>
        <v>0</v>
      </c>
      <c r="Q40" s="4">
        <f>'Cash Flow'!Q89</f>
        <v>0</v>
      </c>
      <c r="R40" s="4">
        <f>'Cash Flow'!R89</f>
        <v>0</v>
      </c>
      <c r="S40" s="4">
        <f>'Cash Flow'!S89</f>
        <v>0</v>
      </c>
      <c r="T40" s="4">
        <f>'Cash Flow'!T89</f>
        <v>0</v>
      </c>
      <c r="U40" s="4">
        <f>'Cash Flow'!U89</f>
        <v>0</v>
      </c>
      <c r="V40" s="4">
        <f>'Cash Flow'!V89</f>
        <v>0</v>
      </c>
      <c r="W40" s="4">
        <f>'Cash Flow'!W89</f>
        <v>0</v>
      </c>
      <c r="X40" s="4">
        <f>'Cash Flow'!X89</f>
        <v>0</v>
      </c>
      <c r="Y40" s="4">
        <f>'Cash Flow'!Y89</f>
        <v>0</v>
      </c>
      <c r="Z40" s="4">
        <f t="shared" si="6"/>
        <v>0</v>
      </c>
    </row>
    <row r="41" spans="1:26" ht="16.5">
      <c r="A41" s="1" t="s">
        <v>142</v>
      </c>
      <c r="B41" s="4">
        <f>'Cash Flow'!B88</f>
        <v>0</v>
      </c>
      <c r="C41" s="4">
        <f>'Cash Flow'!C88</f>
        <v>0</v>
      </c>
      <c r="D41" s="4">
        <f>'Cash Flow'!D88</f>
        <v>0</v>
      </c>
      <c r="E41" s="4">
        <f>'Cash Flow'!E88</f>
        <v>0</v>
      </c>
      <c r="F41" s="4">
        <f>'Cash Flow'!F88</f>
        <v>0</v>
      </c>
      <c r="G41" s="4">
        <f>'Cash Flow'!G88</f>
        <v>0</v>
      </c>
      <c r="H41" s="4">
        <f>'Cash Flow'!H88</f>
        <v>0</v>
      </c>
      <c r="I41" s="4">
        <f>'Cash Flow'!I88</f>
        <v>0</v>
      </c>
      <c r="J41" s="4">
        <f>'Cash Flow'!J88</f>
        <v>0</v>
      </c>
      <c r="K41" s="4">
        <f>'Cash Flow'!K88</f>
        <v>0</v>
      </c>
      <c r="L41" s="4">
        <f>'Cash Flow'!L88</f>
        <v>0</v>
      </c>
      <c r="M41" s="4">
        <f>'Cash Flow'!M88</f>
        <v>0</v>
      </c>
      <c r="N41" s="4">
        <f>'Cash Flow'!N88</f>
        <v>0</v>
      </c>
      <c r="O41" s="4">
        <f>'Cash Flow'!O88</f>
        <v>0</v>
      </c>
      <c r="P41" s="4">
        <f>'Cash Flow'!P88</f>
        <v>0</v>
      </c>
      <c r="Q41" s="4">
        <f>'Cash Flow'!Q88</f>
        <v>0</v>
      </c>
      <c r="R41" s="4">
        <f>'Cash Flow'!R88</f>
        <v>0</v>
      </c>
      <c r="S41" s="4">
        <f>'Cash Flow'!S88</f>
        <v>0</v>
      </c>
      <c r="T41" s="4">
        <f>'Cash Flow'!T88</f>
        <v>0</v>
      </c>
      <c r="U41" s="4">
        <f>'Cash Flow'!U88</f>
        <v>0</v>
      </c>
      <c r="V41" s="4">
        <f>'Cash Flow'!V88</f>
        <v>0</v>
      </c>
      <c r="W41" s="4">
        <f>'Cash Flow'!W88</f>
        <v>0</v>
      </c>
      <c r="X41" s="4">
        <f>'Cash Flow'!X88</f>
        <v>0</v>
      </c>
      <c r="Y41" s="4">
        <f>'Cash Flow'!Y88</f>
        <v>0</v>
      </c>
      <c r="Z41" s="4">
        <f t="shared" si="6"/>
        <v>0</v>
      </c>
    </row>
    <row r="42" spans="1:26" ht="16.5">
      <c r="A42" s="1" t="s">
        <v>143</v>
      </c>
      <c r="B42" s="4">
        <f>'Cash Flow'!B87</f>
        <v>0</v>
      </c>
      <c r="C42" s="4">
        <f>'Cash Flow'!C87</f>
        <v>0</v>
      </c>
      <c r="D42" s="4">
        <f>'Cash Flow'!D87</f>
        <v>0</v>
      </c>
      <c r="E42" s="4">
        <f>'Cash Flow'!E87</f>
        <v>0</v>
      </c>
      <c r="F42" s="4">
        <f>'Cash Flow'!F87</f>
        <v>0</v>
      </c>
      <c r="G42" s="4">
        <f>'Cash Flow'!G87</f>
        <v>0</v>
      </c>
      <c r="H42" s="4">
        <f>'Cash Flow'!H87</f>
        <v>0</v>
      </c>
      <c r="I42" s="4">
        <f>'Cash Flow'!I87</f>
        <v>0</v>
      </c>
      <c r="J42" s="4">
        <f>'Cash Flow'!J87</f>
        <v>0</v>
      </c>
      <c r="K42" s="4">
        <f>'Cash Flow'!K87</f>
        <v>0</v>
      </c>
      <c r="L42" s="4">
        <f>'Cash Flow'!L87</f>
        <v>0</v>
      </c>
      <c r="M42" s="4">
        <f>'Cash Flow'!M87</f>
        <v>0</v>
      </c>
      <c r="N42" s="4">
        <f>'Cash Flow'!N87</f>
        <v>0</v>
      </c>
      <c r="O42" s="4">
        <f>'Cash Flow'!O87</f>
        <v>0</v>
      </c>
      <c r="P42" s="4">
        <f>'Cash Flow'!P87</f>
        <v>0</v>
      </c>
      <c r="Q42" s="4">
        <f>'Cash Flow'!Q87</f>
        <v>0</v>
      </c>
      <c r="R42" s="4">
        <f>'Cash Flow'!R87</f>
        <v>0</v>
      </c>
      <c r="S42" s="4">
        <f>'Cash Flow'!S87</f>
        <v>0</v>
      </c>
      <c r="T42" s="4">
        <f>'Cash Flow'!T87</f>
        <v>0</v>
      </c>
      <c r="U42" s="4">
        <f>'Cash Flow'!U87</f>
        <v>0</v>
      </c>
      <c r="V42" s="4">
        <f>'Cash Flow'!V87</f>
        <v>0</v>
      </c>
      <c r="W42" s="4">
        <f>'Cash Flow'!W87</f>
        <v>0</v>
      </c>
      <c r="X42" s="4">
        <f>'Cash Flow'!X87</f>
        <v>0</v>
      </c>
      <c r="Y42" s="4">
        <f>'Cash Flow'!Y87</f>
        <v>0</v>
      </c>
      <c r="Z42" s="4">
        <f t="shared" si="6"/>
        <v>0</v>
      </c>
    </row>
    <row r="43" spans="1:26" ht="16.5">
      <c r="A43" s="1" t="s">
        <v>144</v>
      </c>
      <c r="B43" s="4">
        <f>'Cash Flow'!B90</f>
        <v>72916.666666666672</v>
      </c>
      <c r="C43" s="4">
        <f>'Cash Flow'!C90</f>
        <v>70833.333333333328</v>
      </c>
      <c r="D43" s="4">
        <f>'Cash Flow'!D90</f>
        <v>68750</v>
      </c>
      <c r="E43" s="4">
        <f>'Cash Flow'!E90</f>
        <v>66666.666666666672</v>
      </c>
      <c r="F43" s="4">
        <f>'Cash Flow'!F90</f>
        <v>64583.333333333328</v>
      </c>
      <c r="G43" s="4">
        <f>'Cash Flow'!G90</f>
        <v>62500</v>
      </c>
      <c r="H43" s="4">
        <f>'Cash Flow'!H90</f>
        <v>104166.66666666666</v>
      </c>
      <c r="I43" s="4">
        <f>'Cash Flow'!I90</f>
        <v>100833.33333333333</v>
      </c>
      <c r="J43" s="4">
        <f>'Cash Flow'!J90</f>
        <v>97500</v>
      </c>
      <c r="K43" s="4">
        <f>'Cash Flow'!K90</f>
        <v>94166.666666666672</v>
      </c>
      <c r="L43" s="4">
        <f>'Cash Flow'!L90</f>
        <v>90833.333333333343</v>
      </c>
      <c r="M43" s="4">
        <f>'Cash Flow'!M90</f>
        <v>87500</v>
      </c>
      <c r="N43" s="4">
        <f>'Cash Flow'!N90</f>
        <v>84166.666666666672</v>
      </c>
      <c r="O43" s="4">
        <f>'Cash Flow'!O90</f>
        <v>80833.333333333343</v>
      </c>
      <c r="P43" s="4">
        <f>'Cash Flow'!P90</f>
        <v>77500</v>
      </c>
      <c r="Q43" s="4">
        <f>'Cash Flow'!Q90</f>
        <v>74166.666666666657</v>
      </c>
      <c r="R43" s="4">
        <f>'Cash Flow'!R90</f>
        <v>70833.333333333328</v>
      </c>
      <c r="S43" s="4">
        <f>'Cash Flow'!S90</f>
        <v>67500</v>
      </c>
      <c r="T43" s="4">
        <f>'Cash Flow'!T90</f>
        <v>64166.666666666657</v>
      </c>
      <c r="U43" s="4">
        <f>'Cash Flow'!U90</f>
        <v>60833.333333333321</v>
      </c>
      <c r="V43" s="4">
        <f>'Cash Flow'!V90</f>
        <v>57499.999999999985</v>
      </c>
      <c r="W43" s="4">
        <f>'Cash Flow'!W90</f>
        <v>54166.666666666657</v>
      </c>
      <c r="X43" s="4">
        <f>'Cash Flow'!X90</f>
        <v>50833.333333333328</v>
      </c>
      <c r="Y43" s="4">
        <f>'Cash Flow'!Y90</f>
        <v>47500</v>
      </c>
      <c r="Z43" s="4">
        <f t="shared" si="6"/>
        <v>47500</v>
      </c>
    </row>
    <row r="44" spans="1:26" ht="16.5">
      <c r="A44" s="1" t="s">
        <v>145</v>
      </c>
      <c r="B44" s="4">
        <f t="shared" ref="B44:Y44" si="7">SUM(B39:B43)</f>
        <v>31381359.235066667</v>
      </c>
      <c r="C44" s="4">
        <f t="shared" si="7"/>
        <v>31262718.470133331</v>
      </c>
      <c r="D44" s="4">
        <f t="shared" si="7"/>
        <v>31144077.705199998</v>
      </c>
      <c r="E44" s="4">
        <f t="shared" si="7"/>
        <v>31011936.940266665</v>
      </c>
      <c r="F44" s="4">
        <f t="shared" si="7"/>
        <v>30879796.175333329</v>
      </c>
      <c r="G44" s="4">
        <f t="shared" si="7"/>
        <v>30702655.410399996</v>
      </c>
      <c r="H44" s="4">
        <f t="shared" si="7"/>
        <v>30537875.287566662</v>
      </c>
      <c r="I44" s="4">
        <f t="shared" si="7"/>
        <v>30373095.164733324</v>
      </c>
      <c r="J44" s="4">
        <f t="shared" si="7"/>
        <v>30208315.04189999</v>
      </c>
      <c r="K44" s="4">
        <f t="shared" si="7"/>
        <v>30043534.919066656</v>
      </c>
      <c r="L44" s="4">
        <f t="shared" si="7"/>
        <v>29878754.796233319</v>
      </c>
      <c r="M44" s="4">
        <f t="shared" si="7"/>
        <v>29653974.673399985</v>
      </c>
      <c r="N44" s="4">
        <f t="shared" si="7"/>
        <v>29477194.550566651</v>
      </c>
      <c r="O44" s="4">
        <f t="shared" si="7"/>
        <v>29300414.427733313</v>
      </c>
      <c r="P44" s="4">
        <f t="shared" si="7"/>
        <v>29123634.304899979</v>
      </c>
      <c r="Q44" s="4">
        <f t="shared" si="7"/>
        <v>28946854.182066645</v>
      </c>
      <c r="R44" s="4">
        <f t="shared" si="7"/>
        <v>28770074.059233308</v>
      </c>
      <c r="S44" s="4">
        <f t="shared" si="7"/>
        <v>28533293.936399974</v>
      </c>
      <c r="T44" s="4">
        <f t="shared" si="7"/>
        <v>26663596.278766643</v>
      </c>
      <c r="U44" s="4">
        <f t="shared" si="7"/>
        <v>24793898.621133309</v>
      </c>
      <c r="V44" s="4">
        <f t="shared" si="7"/>
        <v>22924200.963499978</v>
      </c>
      <c r="W44" s="4">
        <f t="shared" si="7"/>
        <v>19363617.445466645</v>
      </c>
      <c r="X44" s="4">
        <f t="shared" si="7"/>
        <v>15803033.92743331</v>
      </c>
      <c r="Y44" s="4">
        <f t="shared" si="7"/>
        <v>12182450.409399975</v>
      </c>
      <c r="Z44" s="4">
        <f t="shared" si="6"/>
        <v>12182450.409399975</v>
      </c>
    </row>
    <row r="45" spans="1:26" ht="16.5">
      <c r="A45" s="1" t="s">
        <v>146</v>
      </c>
      <c r="B45" s="4">
        <f>Assumptions!$B$4+Summary!D$19</f>
        <v>31500000</v>
      </c>
      <c r="C45" s="4">
        <f>Assumptions!$B$4+Summary!D$19</f>
        <v>31500000</v>
      </c>
      <c r="D45" s="4">
        <f>Assumptions!$B$4+Summary!D$19</f>
        <v>31500000</v>
      </c>
      <c r="E45" s="4">
        <f>Assumptions!$B$4+Summary!D$19</f>
        <v>31500000</v>
      </c>
      <c r="F45" s="4">
        <f>Assumptions!$B$4+Summary!D$19</f>
        <v>31500000</v>
      </c>
      <c r="G45" s="4">
        <f>Assumptions!$B$4+Summary!D$19</f>
        <v>31500000</v>
      </c>
      <c r="H45" s="4">
        <f>Assumptions!$B$4+Summary!D$19</f>
        <v>31500000</v>
      </c>
      <c r="I45" s="4">
        <f>Assumptions!$B$4+Summary!D$19</f>
        <v>31500000</v>
      </c>
      <c r="J45" s="4">
        <f>Assumptions!$B$4+Summary!D$19</f>
        <v>31500000</v>
      </c>
      <c r="K45" s="4">
        <f>Assumptions!$B$4+Summary!D$19</f>
        <v>31500000</v>
      </c>
      <c r="L45" s="4">
        <f>Assumptions!$B$4+Summary!D$19</f>
        <v>31500000</v>
      </c>
      <c r="M45" s="4">
        <f>Assumptions!$B$4+Summary!D$19</f>
        <v>31500000</v>
      </c>
      <c r="N45" s="4">
        <f>Assumptions!$B$4+Summary!D$19</f>
        <v>31500000</v>
      </c>
      <c r="O45" s="4">
        <f>Assumptions!$B$4+Summary!D$19</f>
        <v>31500000</v>
      </c>
      <c r="P45" s="4">
        <f>Assumptions!$B$4+Summary!D$19</f>
        <v>31500000</v>
      </c>
      <c r="Q45" s="4">
        <f>Assumptions!$B$4+Summary!D$19</f>
        <v>31500000</v>
      </c>
      <c r="R45" s="4">
        <f>Assumptions!$B$4+Summary!D$19</f>
        <v>31500000</v>
      </c>
      <c r="S45" s="4">
        <f>Assumptions!$B$4+Summary!D$19</f>
        <v>31500000</v>
      </c>
      <c r="T45" s="4">
        <f>Assumptions!$B$4+Summary!D$19</f>
        <v>31500000</v>
      </c>
      <c r="U45" s="4">
        <f>Assumptions!$B$4+Summary!D$19</f>
        <v>31500000</v>
      </c>
      <c r="V45" s="4">
        <f>Assumptions!$B$4+Summary!D$19</f>
        <v>31500000</v>
      </c>
      <c r="W45" s="4">
        <f>Assumptions!$B$4+Summary!D$19</f>
        <v>31500000</v>
      </c>
      <c r="X45" s="4">
        <f>Assumptions!$B$4+Summary!D$19</f>
        <v>31500000</v>
      </c>
      <c r="Y45" s="4">
        <f>Assumptions!$B$4+Summary!D$19</f>
        <v>31500000</v>
      </c>
      <c r="Z45" s="4">
        <f t="shared" si="6"/>
        <v>31500000</v>
      </c>
    </row>
    <row r="46" spans="1:26" ht="16.5">
      <c r="A46" s="1" t="s">
        <v>147</v>
      </c>
      <c r="B46" s="4">
        <f>SUM('Income Statement'!B45:'Income Statement'!B45)</f>
        <v>-118640.76493333332</v>
      </c>
      <c r="C46" s="4">
        <f>SUM('Income Statement'!B45:'Income Statement'!C45)</f>
        <v>-237281.52986666665</v>
      </c>
      <c r="D46" s="4">
        <f>SUM('Income Statement'!B45:'Income Statement'!D45)</f>
        <v>-355922.29479999997</v>
      </c>
      <c r="E46" s="4">
        <f>SUM('Income Statement'!B45:'Income Statement'!E45)</f>
        <v>-488063.0597333333</v>
      </c>
      <c r="F46" s="4">
        <f>SUM('Income Statement'!B45:'Income Statement'!F45)</f>
        <v>-620203.82466666657</v>
      </c>
      <c r="G46" s="4">
        <f>SUM('Income Statement'!B45:'Income Statement'!G45)</f>
        <v>-797344.58959999995</v>
      </c>
      <c r="H46" s="4">
        <f>SUM('Income Statement'!B45:'Income Statement'!H45)</f>
        <v>-962124.71243333328</v>
      </c>
      <c r="I46" s="4">
        <f>SUM('Income Statement'!B45:'Income Statement'!I45)</f>
        <v>-1126904.8352666667</v>
      </c>
      <c r="J46" s="4">
        <f>SUM('Income Statement'!B45:'Income Statement'!J45)</f>
        <v>-1291684.9581000002</v>
      </c>
      <c r="K46" s="4">
        <f>SUM('Income Statement'!B45:'Income Statement'!K45)</f>
        <v>-1456465.0809333336</v>
      </c>
      <c r="L46" s="4">
        <f>SUM('Income Statement'!B45:'Income Statement'!L45)</f>
        <v>-1621245.2037666671</v>
      </c>
      <c r="M46" s="4">
        <f>SUM('Income Statement'!B45:'Income Statement'!M45)</f>
        <v>-1846025.3266000005</v>
      </c>
      <c r="N46" s="4">
        <f>SUM('Income Statement'!B45:'Income Statement'!N45)</f>
        <v>-2022805.4494333339</v>
      </c>
      <c r="O46" s="4">
        <f>SUM('Income Statement'!B45:'Income Statement'!O45)</f>
        <v>-2199585.5722666671</v>
      </c>
      <c r="P46" s="4">
        <f>SUM('Income Statement'!B45:'Income Statement'!P45)</f>
        <v>-2376365.6951000006</v>
      </c>
      <c r="Q46" s="4">
        <f>SUM('Income Statement'!B45:'Income Statement'!Q45)</f>
        <v>-2553145.817933334</v>
      </c>
      <c r="R46" s="4">
        <f>SUM('Income Statement'!B45:'Income Statement'!R45)</f>
        <v>-2729925.9407666675</v>
      </c>
      <c r="S46" s="4">
        <f>SUM('Income Statement'!B45:'Income Statement'!S45)</f>
        <v>-2966706.0636000009</v>
      </c>
      <c r="T46" s="4">
        <f>SUM('Income Statement'!B45:'Income Statement'!T45)</f>
        <v>-4836403.7212333344</v>
      </c>
      <c r="U46" s="4">
        <f>SUM('Income Statement'!B45:'Income Statement'!U45)</f>
        <v>-6706101.3788666679</v>
      </c>
      <c r="V46" s="4">
        <f>SUM('Income Statement'!B45:'Income Statement'!V45)</f>
        <v>-8575799.0365000013</v>
      </c>
      <c r="W46" s="4">
        <f>SUM('Income Statement'!B45:'Income Statement'!W45)</f>
        <v>-12136382.554533334</v>
      </c>
      <c r="X46" s="4">
        <f>SUM('Income Statement'!B45:'Income Statement'!X45)</f>
        <v>-15696966.072566668</v>
      </c>
      <c r="Y46" s="4">
        <f>SUM('Income Statement'!B45:'Income Statement'!Y45)</f>
        <v>-19317549.590600003</v>
      </c>
      <c r="Z46" s="4">
        <f t="shared" si="6"/>
        <v>-19317549.590600003</v>
      </c>
    </row>
    <row r="47" spans="1:26" ht="16.5">
      <c r="A47" s="1" t="s">
        <v>148</v>
      </c>
      <c r="B47" s="4">
        <f t="shared" ref="B47:Y47" si="8">B44-B45-B46</f>
        <v>5.2386894822120667E-10</v>
      </c>
      <c r="C47" s="4">
        <f t="shared" si="8"/>
        <v>-2.6775524020195007E-9</v>
      </c>
      <c r="D47" s="4">
        <f t="shared" si="8"/>
        <v>-2.1536834537982941E-9</v>
      </c>
      <c r="E47" s="4">
        <f t="shared" si="8"/>
        <v>-1.6298145055770874E-9</v>
      </c>
      <c r="F47" s="4">
        <f t="shared" si="8"/>
        <v>-4.8894435167312622E-9</v>
      </c>
      <c r="G47" s="4">
        <f t="shared" si="8"/>
        <v>-4.3073669075965881E-9</v>
      </c>
      <c r="H47" s="4">
        <f t="shared" si="8"/>
        <v>-4.8894435167312622E-9</v>
      </c>
      <c r="I47" s="4">
        <f t="shared" si="8"/>
        <v>-9.0803951025009155E-9</v>
      </c>
      <c r="J47" s="4">
        <f t="shared" si="8"/>
        <v>-9.5460563898086548E-9</v>
      </c>
      <c r="K47" s="4">
        <f t="shared" si="8"/>
        <v>-1.0011717677116394E-8</v>
      </c>
      <c r="L47" s="4">
        <f t="shared" si="8"/>
        <v>-1.4202669262886047E-8</v>
      </c>
      <c r="M47" s="4">
        <f t="shared" si="8"/>
        <v>-1.4668330550193787E-8</v>
      </c>
      <c r="N47" s="4">
        <f t="shared" si="8"/>
        <v>-1.5133991837501526E-8</v>
      </c>
      <c r="O47" s="4">
        <f t="shared" si="8"/>
        <v>-1.9557774066925049E-8</v>
      </c>
      <c r="P47" s="4">
        <f t="shared" si="8"/>
        <v>-2.0023435354232788E-8</v>
      </c>
      <c r="Q47" s="4">
        <f t="shared" si="8"/>
        <v>-2.0489096641540527E-8</v>
      </c>
      <c r="R47" s="4">
        <f t="shared" si="8"/>
        <v>-2.4680048227310181E-8</v>
      </c>
      <c r="S47" s="4">
        <f t="shared" si="8"/>
        <v>-2.514570951461792E-8</v>
      </c>
      <c r="T47" s="4">
        <f t="shared" si="8"/>
        <v>-2.2351741790771484E-8</v>
      </c>
      <c r="U47" s="4">
        <f t="shared" si="8"/>
        <v>-2.3283064365386963E-8</v>
      </c>
      <c r="V47" s="4">
        <f t="shared" si="8"/>
        <v>-2.0489096641540527E-8</v>
      </c>
      <c r="W47" s="4">
        <f t="shared" si="8"/>
        <v>-2.0489096641540527E-8</v>
      </c>
      <c r="X47" s="4">
        <f t="shared" si="8"/>
        <v>-2.2351741790771484E-8</v>
      </c>
      <c r="Y47" s="4">
        <f t="shared" si="8"/>
        <v>0</v>
      </c>
      <c r="Z47" s="4">
        <f t="shared" si="6"/>
        <v>0</v>
      </c>
    </row>
  </sheetData>
  <phoneticPr fontId="4" type="noConversion"/>
  <printOptions horizontalCentered="1"/>
  <pageMargins left="0.25" right="0.25" top="1" bottom="1" header="0.5" footer="0.5"/>
  <pageSetup paperSize="8" fitToWidth="2" fitToHeight="0" orientation="landscape"/>
  <headerFooter>
    <oddFooter>&amp;CBlocky Studio | 规划预算 | &amp;P / &amp;N</oddFooter>
  </headerFooter>
  <rowBreaks count="2" manualBreakCount="2">
    <brk id="18" max="16383" man="1"/>
    <brk id="36" max="16383" man="1"/>
  </rowBreaks>
  <colBreaks count="1" manualBreakCount="1">
    <brk id="13" max="1638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9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3.5"/>
  <cols>
    <col min="1" max="1" width="39" customWidth="1"/>
    <col min="2" max="26" width="13" customWidth="1"/>
  </cols>
  <sheetData>
    <row r="1" spans="1:26" ht="18">
      <c r="A1" s="6" t="s">
        <v>2</v>
      </c>
    </row>
    <row r="2" spans="1:26" ht="33">
      <c r="A2" s="1" t="s">
        <v>104</v>
      </c>
      <c r="B2" s="11">
        <f>EDATE(Assumptions!$B$3,0)</f>
        <v>46327</v>
      </c>
      <c r="C2" s="11">
        <f>EDATE(Assumptions!$B$3,1)</f>
        <v>46357</v>
      </c>
      <c r="D2" s="11">
        <f>EDATE(Assumptions!$B$3,2)</f>
        <v>46388</v>
      </c>
      <c r="E2" s="11">
        <f>EDATE(Assumptions!$B$3,3)</f>
        <v>46419</v>
      </c>
      <c r="F2" s="11">
        <f>EDATE(Assumptions!$B$3,4)</f>
        <v>46447</v>
      </c>
      <c r="G2" s="11">
        <f>EDATE(Assumptions!$B$3,5)</f>
        <v>46478</v>
      </c>
      <c r="H2" s="11">
        <f>EDATE(Assumptions!$B$3,6)</f>
        <v>46508</v>
      </c>
      <c r="I2" s="11">
        <f>EDATE(Assumptions!$B$3,7)</f>
        <v>46539</v>
      </c>
      <c r="J2" s="11">
        <f>EDATE(Assumptions!$B$3,8)</f>
        <v>46569</v>
      </c>
      <c r="K2" s="11">
        <f>EDATE(Assumptions!$B$3,9)</f>
        <v>46600</v>
      </c>
      <c r="L2" s="11">
        <f>EDATE(Assumptions!$B$3,10)</f>
        <v>46631</v>
      </c>
      <c r="M2" s="11">
        <f>EDATE(Assumptions!$B$3,11)</f>
        <v>46661</v>
      </c>
      <c r="N2" s="11">
        <f>EDATE(Assumptions!$B$3,12)</f>
        <v>46692</v>
      </c>
      <c r="O2" s="11">
        <f>EDATE(Assumptions!$B$3,13)</f>
        <v>46722</v>
      </c>
      <c r="P2" s="11">
        <f>EDATE(Assumptions!$B$3,14)</f>
        <v>46753</v>
      </c>
      <c r="Q2" s="11">
        <f>EDATE(Assumptions!$B$3,15)</f>
        <v>46784</v>
      </c>
      <c r="R2" s="11">
        <f>EDATE(Assumptions!$B$3,16)</f>
        <v>46813</v>
      </c>
      <c r="S2" s="11">
        <f>EDATE(Assumptions!$B$3,17)</f>
        <v>46844</v>
      </c>
      <c r="T2" s="11">
        <f>EDATE(Assumptions!$B$3,18)</f>
        <v>46874</v>
      </c>
      <c r="U2" s="11">
        <f>EDATE(Assumptions!$B$3,19)</f>
        <v>46905</v>
      </c>
      <c r="V2" s="11">
        <f>EDATE(Assumptions!$B$3,20)</f>
        <v>46935</v>
      </c>
      <c r="W2" s="11">
        <f>EDATE(Assumptions!$B$3,21)</f>
        <v>46966</v>
      </c>
      <c r="X2" s="11">
        <f>EDATE(Assumptions!$B$3,22)</f>
        <v>46997</v>
      </c>
      <c r="Y2" s="11">
        <f>EDATE(Assumptions!$B$3,23)</f>
        <v>47027</v>
      </c>
      <c r="Z2" s="1" t="s">
        <v>105</v>
      </c>
    </row>
    <row r="3" spans="1:26" ht="16.5">
      <c r="A3" s="1" t="s">
        <v>149</v>
      </c>
      <c r="B3" s="4">
        <f>Assumptions!$B$4</f>
        <v>0</v>
      </c>
      <c r="C3" s="4">
        <f t="shared" ref="C3:Y3" si="0">B17</f>
        <v>-76889.357900000003</v>
      </c>
      <c r="D3" s="4">
        <f t="shared" si="0"/>
        <v>-116278.71580000001</v>
      </c>
      <c r="E3" s="4">
        <f t="shared" si="0"/>
        <v>-155668.07370000001</v>
      </c>
      <c r="F3" s="4">
        <f t="shared" si="0"/>
        <v>-201807.43160000001</v>
      </c>
      <c r="G3" s="4">
        <f t="shared" si="0"/>
        <v>-247946.78950000001</v>
      </c>
      <c r="H3" s="4">
        <f t="shared" si="0"/>
        <v>-316586.14740000002</v>
      </c>
      <c r="I3" s="4">
        <f t="shared" si="0"/>
        <v>-404920.18425000005</v>
      </c>
      <c r="J3" s="4">
        <f t="shared" si="0"/>
        <v>-470754.22110000008</v>
      </c>
      <c r="K3" s="4">
        <f t="shared" si="0"/>
        <v>-536588.25795000012</v>
      </c>
      <c r="L3" s="4">
        <f t="shared" si="0"/>
        <v>-602422.29480000015</v>
      </c>
      <c r="M3" s="4">
        <f t="shared" si="0"/>
        <v>-668256.33165000018</v>
      </c>
      <c r="N3" s="4">
        <f t="shared" si="0"/>
        <v>-764090.36850000022</v>
      </c>
      <c r="O3" s="4">
        <f t="shared" si="0"/>
        <v>-835924.40535000025</v>
      </c>
      <c r="P3" s="4">
        <f t="shared" si="0"/>
        <v>-907758.44220000028</v>
      </c>
      <c r="Q3" s="4">
        <f t="shared" si="0"/>
        <v>-979592.47905000031</v>
      </c>
      <c r="R3" s="4">
        <f t="shared" si="0"/>
        <v>-1051426.5159000002</v>
      </c>
      <c r="S3" s="4">
        <f t="shared" si="0"/>
        <v>-1123260.5527500003</v>
      </c>
      <c r="T3" s="4">
        <f t="shared" si="0"/>
        <v>-1225094.5896000003</v>
      </c>
      <c r="U3" s="4">
        <f t="shared" si="0"/>
        <v>-1398503.6785380002</v>
      </c>
      <c r="V3" s="4">
        <f t="shared" si="0"/>
        <v>-1571912.7674760001</v>
      </c>
      <c r="W3" s="4">
        <f t="shared" si="0"/>
        <v>-1745321.856414</v>
      </c>
      <c r="X3" s="4">
        <f t="shared" si="0"/>
        <v>-2020184.0969759999</v>
      </c>
      <c r="Y3" s="4">
        <f t="shared" si="0"/>
        <v>-2295046.3375379997</v>
      </c>
      <c r="Z3" s="4">
        <f>Y3</f>
        <v>-2295046.3375379997</v>
      </c>
    </row>
    <row r="4" spans="1:26" ht="16.5">
      <c r="A4" s="1" t="s">
        <v>150</v>
      </c>
      <c r="B4" s="4">
        <f>Revenue!B5</f>
        <v>0</v>
      </c>
      <c r="C4" s="4">
        <f>Revenue!C5</f>
        <v>0</v>
      </c>
      <c r="D4" s="4">
        <f>Revenue!D5</f>
        <v>0</v>
      </c>
      <c r="E4" s="4">
        <f>Revenue!E5</f>
        <v>0</v>
      </c>
      <c r="F4" s="4">
        <f>Revenue!F5</f>
        <v>0</v>
      </c>
      <c r="G4" s="4">
        <f>Revenue!G5</f>
        <v>0</v>
      </c>
      <c r="H4" s="4">
        <f>Revenue!H5</f>
        <v>0</v>
      </c>
      <c r="I4" s="4">
        <f>Revenue!I5</f>
        <v>0</v>
      </c>
      <c r="J4" s="4">
        <f>Revenue!J5</f>
        <v>0</v>
      </c>
      <c r="K4" s="4">
        <f>Revenue!K5</f>
        <v>0</v>
      </c>
      <c r="L4" s="4">
        <f>Revenue!L5</f>
        <v>0</v>
      </c>
      <c r="M4" s="4">
        <f>Revenue!M5</f>
        <v>0</v>
      </c>
      <c r="N4" s="4">
        <f>Revenue!N5</f>
        <v>0</v>
      </c>
      <c r="O4" s="4">
        <f>Revenue!O5</f>
        <v>0</v>
      </c>
      <c r="P4" s="4">
        <f>Revenue!P5</f>
        <v>0</v>
      </c>
      <c r="Q4" s="4">
        <f>Revenue!Q5</f>
        <v>0</v>
      </c>
      <c r="R4" s="4">
        <f>Revenue!R5</f>
        <v>0</v>
      </c>
      <c r="S4" s="4">
        <f>Revenue!S5</f>
        <v>0</v>
      </c>
      <c r="T4" s="4">
        <f>Revenue!T5</f>
        <v>0</v>
      </c>
      <c r="U4" s="4">
        <f>Revenue!U5</f>
        <v>0</v>
      </c>
      <c r="V4" s="4">
        <f>Revenue!V5</f>
        <v>0</v>
      </c>
      <c r="W4" s="4">
        <f>Revenue!W5</f>
        <v>0</v>
      </c>
      <c r="X4" s="4">
        <f>Revenue!X5</f>
        <v>0</v>
      </c>
      <c r="Y4" s="4">
        <f>Revenue!Y5</f>
        <v>0</v>
      </c>
      <c r="Z4" s="4">
        <f>SUM(B4:Y4)</f>
        <v>0</v>
      </c>
    </row>
    <row r="5" spans="1:26" ht="16.5">
      <c r="A5" s="1" t="s">
        <v>151</v>
      </c>
      <c r="B5" s="4">
        <f>Costs!B17</f>
        <v>39389.357900000003</v>
      </c>
      <c r="C5" s="4">
        <f>Costs!C17</f>
        <v>39389.357900000003</v>
      </c>
      <c r="D5" s="4">
        <f>Costs!D17</f>
        <v>39389.357900000003</v>
      </c>
      <c r="E5" s="4">
        <f>Costs!E17</f>
        <v>46139.357900000003</v>
      </c>
      <c r="F5" s="4">
        <f>Costs!F17</f>
        <v>46139.357900000003</v>
      </c>
      <c r="G5" s="4">
        <f>Costs!G17</f>
        <v>68639.357900000003</v>
      </c>
      <c r="H5" s="4">
        <f>Costs!H17</f>
        <v>65834.036850000004</v>
      </c>
      <c r="I5" s="4">
        <f>Costs!I17</f>
        <v>65834.036850000004</v>
      </c>
      <c r="J5" s="4">
        <f>Costs!J17</f>
        <v>65834.036850000004</v>
      </c>
      <c r="K5" s="4">
        <f>Costs!K17</f>
        <v>65834.036850000004</v>
      </c>
      <c r="L5" s="4">
        <f>Costs!L17</f>
        <v>65834.036850000004</v>
      </c>
      <c r="M5" s="4">
        <f>Costs!M17</f>
        <v>95834.036850000004</v>
      </c>
      <c r="N5" s="4">
        <f>Costs!N17</f>
        <v>71834.036850000004</v>
      </c>
      <c r="O5" s="4">
        <f>Costs!O17</f>
        <v>71834.036850000004</v>
      </c>
      <c r="P5" s="4">
        <f>Costs!P17</f>
        <v>71834.036850000004</v>
      </c>
      <c r="Q5" s="4">
        <f>Costs!Q17</f>
        <v>71834.036850000004</v>
      </c>
      <c r="R5" s="4">
        <f>Costs!R17</f>
        <v>71834.036850000004</v>
      </c>
      <c r="S5" s="4">
        <f>Costs!S17</f>
        <v>101834.03685</v>
      </c>
      <c r="T5" s="4">
        <f>Costs!T17</f>
        <v>71834.036850000004</v>
      </c>
      <c r="U5" s="4">
        <f>Costs!U17</f>
        <v>71834.036850000004</v>
      </c>
      <c r="V5" s="4">
        <f>Costs!V17</f>
        <v>71834.036850000004</v>
      </c>
      <c r="W5" s="4">
        <f>Costs!W17</f>
        <v>71834.036850000004</v>
      </c>
      <c r="X5" s="4">
        <f>Costs!X17</f>
        <v>71834.036850000004</v>
      </c>
      <c r="Y5" s="4">
        <f>Costs!Y17</f>
        <v>101834.03685</v>
      </c>
      <c r="Z5" s="4">
        <f>SUM(B5:Y5)</f>
        <v>1626098.8107000005</v>
      </c>
    </row>
    <row r="6" spans="1:26" ht="16.5">
      <c r="A6" s="1" t="s">
        <v>152</v>
      </c>
      <c r="B6" s="4">
        <f>Costs!B11</f>
        <v>0</v>
      </c>
      <c r="C6" s="4">
        <f>Costs!C11</f>
        <v>0</v>
      </c>
      <c r="D6" s="4">
        <f>Costs!D11</f>
        <v>0</v>
      </c>
      <c r="E6" s="4">
        <f>Costs!E11</f>
        <v>0</v>
      </c>
      <c r="F6" s="4">
        <f>Costs!F11</f>
        <v>0</v>
      </c>
      <c r="G6" s="4">
        <f>Costs!G11</f>
        <v>0</v>
      </c>
      <c r="H6" s="4">
        <f>Costs!H11</f>
        <v>0</v>
      </c>
      <c r="I6" s="4">
        <f>Costs!I11</f>
        <v>0</v>
      </c>
      <c r="J6" s="4">
        <f>Costs!J11</f>
        <v>0</v>
      </c>
      <c r="K6" s="4">
        <f>Costs!K11</f>
        <v>0</v>
      </c>
      <c r="L6" s="4">
        <f>Costs!L11</f>
        <v>0</v>
      </c>
      <c r="M6" s="4">
        <f>Costs!M11</f>
        <v>0</v>
      </c>
      <c r="N6" s="4">
        <f>Costs!N11</f>
        <v>0</v>
      </c>
      <c r="O6" s="4">
        <f>Costs!O11</f>
        <v>0</v>
      </c>
      <c r="P6" s="4">
        <f>Costs!P11</f>
        <v>0</v>
      </c>
      <c r="Q6" s="4">
        <f>Costs!Q11</f>
        <v>0</v>
      </c>
      <c r="R6" s="4">
        <f>Costs!R11</f>
        <v>0</v>
      </c>
      <c r="S6" s="4">
        <f>Costs!S11</f>
        <v>0</v>
      </c>
      <c r="T6" s="4">
        <f>Costs!T11</f>
        <v>101575.052088</v>
      </c>
      <c r="U6" s="4">
        <f>Costs!U11</f>
        <v>101575.052088</v>
      </c>
      <c r="V6" s="4">
        <f>Costs!V11</f>
        <v>101575.052088</v>
      </c>
      <c r="W6" s="4">
        <f>Costs!W11</f>
        <v>203028.20371199999</v>
      </c>
      <c r="X6" s="4">
        <f>Costs!X11</f>
        <v>203028.20371199999</v>
      </c>
      <c r="Y6" s="4">
        <f>Costs!Y11</f>
        <v>203028.20371199999</v>
      </c>
      <c r="Z6" s="4">
        <f>SUM(B6:Y6)</f>
        <v>913809.76740000001</v>
      </c>
    </row>
    <row r="7" spans="1:26" ht="16.5">
      <c r="A7" s="1" t="s">
        <v>153</v>
      </c>
      <c r="B7" s="4">
        <f>IF(1=Assumptions!$B$10,Assumptions!$B$8,0)</f>
        <v>0</v>
      </c>
      <c r="C7" s="4">
        <f>IF(2=Assumptions!$B$10,Assumptions!$B$8,0)</f>
        <v>0</v>
      </c>
      <c r="D7" s="4">
        <f>IF(3=Assumptions!$B$10,Assumptions!$B$8,0)</f>
        <v>0</v>
      </c>
      <c r="E7" s="4">
        <f>IF(4=Assumptions!$B$10,Assumptions!$B$8,0)</f>
        <v>0</v>
      </c>
      <c r="F7" s="4">
        <f>IF(5=Assumptions!$B$10,Assumptions!$B$8,0)</f>
        <v>0</v>
      </c>
      <c r="G7" s="4">
        <f>IF(6=Assumptions!$B$10,Assumptions!$B$8,0)</f>
        <v>0</v>
      </c>
      <c r="H7" s="4">
        <f>IF(7=Assumptions!$B$10,Assumptions!$B$8,0)</f>
        <v>0</v>
      </c>
      <c r="I7" s="4">
        <f>IF(8=Assumptions!$B$10,Assumptions!$B$8,0)</f>
        <v>0</v>
      </c>
      <c r="J7" s="4">
        <f>IF(9=Assumptions!$B$10,Assumptions!$B$8,0)</f>
        <v>0</v>
      </c>
      <c r="K7" s="4">
        <f>IF(10=Assumptions!$B$10,Assumptions!$B$8,0)</f>
        <v>0</v>
      </c>
      <c r="L7" s="4">
        <f>IF(11=Assumptions!$B$10,Assumptions!$B$8,0)</f>
        <v>0</v>
      </c>
      <c r="M7" s="4">
        <f>IF(12=Assumptions!$B$10,Assumptions!$B$8,0)</f>
        <v>0</v>
      </c>
      <c r="N7" s="4">
        <f>IF(13=Assumptions!$B$10,Assumptions!$B$8,0)</f>
        <v>0</v>
      </c>
      <c r="O7" s="4">
        <f>IF(14=Assumptions!$B$10,Assumptions!$B$8,0)</f>
        <v>0</v>
      </c>
      <c r="P7" s="4">
        <f>IF(15=Assumptions!$B$10,Assumptions!$B$8,0)</f>
        <v>0</v>
      </c>
      <c r="Q7" s="4">
        <f>IF(16=Assumptions!$B$10,Assumptions!$B$8,0)</f>
        <v>0</v>
      </c>
      <c r="R7" s="4">
        <f>IF(17=Assumptions!$B$10,Assumptions!$B$8,0)</f>
        <v>0</v>
      </c>
      <c r="S7" s="4">
        <f>IF(18=Assumptions!$B$10,Assumptions!$B$8,0)</f>
        <v>0</v>
      </c>
      <c r="T7" s="4">
        <f>IF(19=Assumptions!$B$10,Assumptions!$B$8,0)</f>
        <v>0</v>
      </c>
      <c r="U7" s="4">
        <f>IF(20=Assumptions!$B$10,Assumptions!$B$8,0)</f>
        <v>0</v>
      </c>
      <c r="V7" s="4">
        <f>IF(21=Assumptions!$B$10,Assumptions!$B$8,0)</f>
        <v>0</v>
      </c>
      <c r="W7" s="4">
        <f>IF(22=Assumptions!$B$10,Assumptions!$B$8,0)</f>
        <v>0</v>
      </c>
      <c r="X7" s="4">
        <f>IF(23=Assumptions!$B$10,Assumptions!$B$8,0)</f>
        <v>0</v>
      </c>
      <c r="Y7" s="4">
        <f>IF(24=Assumptions!$B$10,Assumptions!$B$8,0)</f>
        <v>0</v>
      </c>
      <c r="Z7" s="4">
        <f>SUM(B7:Y7)</f>
        <v>0</v>
      </c>
    </row>
    <row r="8" spans="1:26" ht="16.5">
      <c r="A8" s="1" t="s">
        <v>154</v>
      </c>
      <c r="B8" s="4">
        <f>0</f>
        <v>0</v>
      </c>
      <c r="C8" s="4">
        <f t="shared" ref="C8:Y8" si="1">B10</f>
        <v>0</v>
      </c>
      <c r="D8" s="4">
        <f t="shared" si="1"/>
        <v>0</v>
      </c>
      <c r="E8" s="4">
        <f t="shared" si="1"/>
        <v>0</v>
      </c>
      <c r="F8" s="4">
        <f t="shared" si="1"/>
        <v>0</v>
      </c>
      <c r="G8" s="4">
        <f t="shared" si="1"/>
        <v>0</v>
      </c>
      <c r="H8" s="4">
        <f t="shared" si="1"/>
        <v>0</v>
      </c>
      <c r="I8" s="4">
        <f t="shared" si="1"/>
        <v>0</v>
      </c>
      <c r="J8" s="4">
        <f t="shared" si="1"/>
        <v>0</v>
      </c>
      <c r="K8" s="4">
        <f t="shared" si="1"/>
        <v>0</v>
      </c>
      <c r="L8" s="4">
        <f t="shared" si="1"/>
        <v>0</v>
      </c>
      <c r="M8" s="4">
        <f t="shared" si="1"/>
        <v>0</v>
      </c>
      <c r="N8" s="4">
        <f t="shared" si="1"/>
        <v>0</v>
      </c>
      <c r="O8" s="4">
        <f t="shared" si="1"/>
        <v>0</v>
      </c>
      <c r="P8" s="4">
        <f t="shared" si="1"/>
        <v>0</v>
      </c>
      <c r="Q8" s="4">
        <f t="shared" si="1"/>
        <v>0</v>
      </c>
      <c r="R8" s="4">
        <f t="shared" si="1"/>
        <v>0</v>
      </c>
      <c r="S8" s="4">
        <f t="shared" si="1"/>
        <v>0</v>
      </c>
      <c r="T8" s="4">
        <f t="shared" si="1"/>
        <v>0</v>
      </c>
      <c r="U8" s="4">
        <f t="shared" si="1"/>
        <v>0</v>
      </c>
      <c r="V8" s="4">
        <f t="shared" si="1"/>
        <v>0</v>
      </c>
      <c r="W8" s="4">
        <f t="shared" si="1"/>
        <v>0</v>
      </c>
      <c r="X8" s="4">
        <f t="shared" si="1"/>
        <v>0</v>
      </c>
      <c r="Y8" s="4">
        <f t="shared" si="1"/>
        <v>0</v>
      </c>
      <c r="Z8" s="4">
        <f>Y8</f>
        <v>0</v>
      </c>
    </row>
    <row r="9" spans="1:26" ht="16.5">
      <c r="A9" s="1" t="s">
        <v>155</v>
      </c>
      <c r="B9" s="4">
        <f t="shared" ref="B9:Y9" si="2">MIN(B8+B7,B6)</f>
        <v>0</v>
      </c>
      <c r="C9" s="4">
        <f t="shared" si="2"/>
        <v>0</v>
      </c>
      <c r="D9" s="4">
        <f t="shared" si="2"/>
        <v>0</v>
      </c>
      <c r="E9" s="4">
        <f t="shared" si="2"/>
        <v>0</v>
      </c>
      <c r="F9" s="4">
        <f t="shared" si="2"/>
        <v>0</v>
      </c>
      <c r="G9" s="4">
        <f t="shared" si="2"/>
        <v>0</v>
      </c>
      <c r="H9" s="4">
        <f t="shared" si="2"/>
        <v>0</v>
      </c>
      <c r="I9" s="4">
        <f t="shared" si="2"/>
        <v>0</v>
      </c>
      <c r="J9" s="4">
        <f t="shared" si="2"/>
        <v>0</v>
      </c>
      <c r="K9" s="4">
        <f t="shared" si="2"/>
        <v>0</v>
      </c>
      <c r="L9" s="4">
        <f t="shared" si="2"/>
        <v>0</v>
      </c>
      <c r="M9" s="4">
        <f t="shared" si="2"/>
        <v>0</v>
      </c>
      <c r="N9" s="4">
        <f t="shared" si="2"/>
        <v>0</v>
      </c>
      <c r="O9" s="4">
        <f t="shared" si="2"/>
        <v>0</v>
      </c>
      <c r="P9" s="4">
        <f t="shared" si="2"/>
        <v>0</v>
      </c>
      <c r="Q9" s="4">
        <f t="shared" si="2"/>
        <v>0</v>
      </c>
      <c r="R9" s="4">
        <f t="shared" si="2"/>
        <v>0</v>
      </c>
      <c r="S9" s="4">
        <f t="shared" si="2"/>
        <v>0</v>
      </c>
      <c r="T9" s="4">
        <f t="shared" si="2"/>
        <v>0</v>
      </c>
      <c r="U9" s="4">
        <f t="shared" si="2"/>
        <v>0</v>
      </c>
      <c r="V9" s="4">
        <f t="shared" si="2"/>
        <v>0</v>
      </c>
      <c r="W9" s="4">
        <f t="shared" si="2"/>
        <v>0</v>
      </c>
      <c r="X9" s="4">
        <f t="shared" si="2"/>
        <v>0</v>
      </c>
      <c r="Y9" s="4">
        <f t="shared" si="2"/>
        <v>0</v>
      </c>
      <c r="Z9" s="4">
        <f>SUM(B9:Y9)</f>
        <v>0</v>
      </c>
    </row>
    <row r="10" spans="1:26" ht="16.5">
      <c r="A10" s="1" t="s">
        <v>156</v>
      </c>
      <c r="B10" s="4">
        <f t="shared" ref="B10:Y10" si="3">B8+B7-B9</f>
        <v>0</v>
      </c>
      <c r="C10" s="4">
        <f t="shared" si="3"/>
        <v>0</v>
      </c>
      <c r="D10" s="4">
        <f t="shared" si="3"/>
        <v>0</v>
      </c>
      <c r="E10" s="4">
        <f t="shared" si="3"/>
        <v>0</v>
      </c>
      <c r="F10" s="4">
        <f t="shared" si="3"/>
        <v>0</v>
      </c>
      <c r="G10" s="4">
        <f t="shared" si="3"/>
        <v>0</v>
      </c>
      <c r="H10" s="4">
        <f t="shared" si="3"/>
        <v>0</v>
      </c>
      <c r="I10" s="4">
        <f t="shared" si="3"/>
        <v>0</v>
      </c>
      <c r="J10" s="4">
        <f t="shared" si="3"/>
        <v>0</v>
      </c>
      <c r="K10" s="4">
        <f t="shared" si="3"/>
        <v>0</v>
      </c>
      <c r="L10" s="4">
        <f t="shared" si="3"/>
        <v>0</v>
      </c>
      <c r="M10" s="4">
        <f t="shared" si="3"/>
        <v>0</v>
      </c>
      <c r="N10" s="4">
        <f t="shared" si="3"/>
        <v>0</v>
      </c>
      <c r="O10" s="4">
        <f t="shared" si="3"/>
        <v>0</v>
      </c>
      <c r="P10" s="4">
        <f t="shared" si="3"/>
        <v>0</v>
      </c>
      <c r="Q10" s="4">
        <f t="shared" si="3"/>
        <v>0</v>
      </c>
      <c r="R10" s="4">
        <f t="shared" si="3"/>
        <v>0</v>
      </c>
      <c r="S10" s="4">
        <f t="shared" si="3"/>
        <v>0</v>
      </c>
      <c r="T10" s="4">
        <f t="shared" si="3"/>
        <v>0</v>
      </c>
      <c r="U10" s="4">
        <f t="shared" si="3"/>
        <v>0</v>
      </c>
      <c r="V10" s="4">
        <f t="shared" si="3"/>
        <v>0</v>
      </c>
      <c r="W10" s="4">
        <f t="shared" si="3"/>
        <v>0</v>
      </c>
      <c r="X10" s="4">
        <f t="shared" si="3"/>
        <v>0</v>
      </c>
      <c r="Y10" s="4">
        <f t="shared" si="3"/>
        <v>0</v>
      </c>
      <c r="Z10" s="4">
        <f>Y10</f>
        <v>0</v>
      </c>
    </row>
    <row r="11" spans="1:26" ht="16.5">
      <c r="A11" s="1" t="s">
        <v>157</v>
      </c>
      <c r="B11" s="4">
        <f t="shared" ref="B11:Y11" si="4">B6-B9+B7</f>
        <v>0</v>
      </c>
      <c r="C11" s="4">
        <f t="shared" si="4"/>
        <v>0</v>
      </c>
      <c r="D11" s="4">
        <f t="shared" si="4"/>
        <v>0</v>
      </c>
      <c r="E11" s="4">
        <f t="shared" si="4"/>
        <v>0</v>
      </c>
      <c r="F11" s="4">
        <f t="shared" si="4"/>
        <v>0</v>
      </c>
      <c r="G11" s="4">
        <f t="shared" si="4"/>
        <v>0</v>
      </c>
      <c r="H11" s="4">
        <f t="shared" si="4"/>
        <v>0</v>
      </c>
      <c r="I11" s="4">
        <f t="shared" si="4"/>
        <v>0</v>
      </c>
      <c r="J11" s="4">
        <f t="shared" si="4"/>
        <v>0</v>
      </c>
      <c r="K11" s="4">
        <f t="shared" si="4"/>
        <v>0</v>
      </c>
      <c r="L11" s="4">
        <f t="shared" si="4"/>
        <v>0</v>
      </c>
      <c r="M11" s="4">
        <f t="shared" si="4"/>
        <v>0</v>
      </c>
      <c r="N11" s="4">
        <f t="shared" si="4"/>
        <v>0</v>
      </c>
      <c r="O11" s="4">
        <f t="shared" si="4"/>
        <v>0</v>
      </c>
      <c r="P11" s="4">
        <f t="shared" si="4"/>
        <v>0</v>
      </c>
      <c r="Q11" s="4">
        <f t="shared" si="4"/>
        <v>0</v>
      </c>
      <c r="R11" s="4">
        <f t="shared" si="4"/>
        <v>0</v>
      </c>
      <c r="S11" s="4">
        <f t="shared" si="4"/>
        <v>0</v>
      </c>
      <c r="T11" s="4">
        <f t="shared" si="4"/>
        <v>101575.052088</v>
      </c>
      <c r="U11" s="4">
        <f t="shared" si="4"/>
        <v>101575.052088</v>
      </c>
      <c r="V11" s="4">
        <f t="shared" si="4"/>
        <v>101575.052088</v>
      </c>
      <c r="W11" s="4">
        <f t="shared" si="4"/>
        <v>203028.20371199999</v>
      </c>
      <c r="X11" s="4">
        <f t="shared" si="4"/>
        <v>203028.20371199999</v>
      </c>
      <c r="Y11" s="4">
        <f t="shared" si="4"/>
        <v>203028.20371199999</v>
      </c>
      <c r="Z11" s="4">
        <f t="shared" ref="Z11:Z16" si="5">SUM(B11:Y11)</f>
        <v>913809.76740000001</v>
      </c>
    </row>
    <row r="12" spans="1:26" ht="16.5">
      <c r="A12" s="1" t="s">
        <v>158</v>
      </c>
      <c r="B12" s="4">
        <f>Costs!B12</f>
        <v>0</v>
      </c>
      <c r="C12" s="4">
        <f>Costs!C12</f>
        <v>0</v>
      </c>
      <c r="D12" s="4">
        <f>Costs!D12</f>
        <v>0</v>
      </c>
      <c r="E12" s="4">
        <f>Costs!E12</f>
        <v>0</v>
      </c>
      <c r="F12" s="4">
        <f>Costs!F12</f>
        <v>0</v>
      </c>
      <c r="G12" s="4">
        <f>Costs!G12</f>
        <v>0</v>
      </c>
      <c r="H12" s="4">
        <f>Costs!H12</f>
        <v>0</v>
      </c>
      <c r="I12" s="4">
        <f>Costs!I12</f>
        <v>0</v>
      </c>
      <c r="J12" s="4">
        <f>Costs!J12</f>
        <v>0</v>
      </c>
      <c r="K12" s="4">
        <f>Costs!K12</f>
        <v>0</v>
      </c>
      <c r="L12" s="4">
        <f>Costs!L12</f>
        <v>0</v>
      </c>
      <c r="M12" s="4">
        <f>Costs!M12</f>
        <v>0</v>
      </c>
      <c r="N12" s="4">
        <f>Costs!N12</f>
        <v>0</v>
      </c>
      <c r="O12" s="4">
        <f>Costs!O12</f>
        <v>0</v>
      </c>
      <c r="P12" s="4">
        <f>Costs!P12</f>
        <v>0</v>
      </c>
      <c r="Q12" s="4">
        <f>Costs!Q12</f>
        <v>0</v>
      </c>
      <c r="R12" s="4">
        <f>Costs!R12</f>
        <v>0</v>
      </c>
      <c r="S12" s="4">
        <f>Costs!S12</f>
        <v>0</v>
      </c>
      <c r="T12" s="4">
        <f>Costs!T12</f>
        <v>0</v>
      </c>
      <c r="U12" s="4">
        <f>Costs!U12</f>
        <v>0</v>
      </c>
      <c r="V12" s="4">
        <f>Costs!V12</f>
        <v>0</v>
      </c>
      <c r="W12" s="4">
        <f>Costs!W12</f>
        <v>0</v>
      </c>
      <c r="X12" s="4">
        <f>Costs!X12</f>
        <v>0</v>
      </c>
      <c r="Y12" s="4">
        <f>Costs!Y12</f>
        <v>0</v>
      </c>
      <c r="Z12" s="4">
        <f t="shared" si="5"/>
        <v>0</v>
      </c>
    </row>
    <row r="13" spans="1:26" ht="16.5">
      <c r="A13" s="1" t="s">
        <v>159</v>
      </c>
      <c r="B13" s="4">
        <f>IF(1=Assumptions!$B$10,Assumptions!$B$9,0)</f>
        <v>0</v>
      </c>
      <c r="C13" s="4">
        <f>IF(2=Assumptions!$B$10,Assumptions!$B$9,0)</f>
        <v>0</v>
      </c>
      <c r="D13" s="4">
        <f>IF(3=Assumptions!$B$10,Assumptions!$B$9,0)</f>
        <v>0</v>
      </c>
      <c r="E13" s="4">
        <f>IF(4=Assumptions!$B$10,Assumptions!$B$9,0)</f>
        <v>0</v>
      </c>
      <c r="F13" s="4">
        <f>IF(5=Assumptions!$B$10,Assumptions!$B$9,0)</f>
        <v>0</v>
      </c>
      <c r="G13" s="4">
        <f>IF(6=Assumptions!$B$10,Assumptions!$B$9,0)</f>
        <v>0</v>
      </c>
      <c r="H13" s="4">
        <f>IF(7=Assumptions!$B$10,Assumptions!$B$9,0)</f>
        <v>0</v>
      </c>
      <c r="I13" s="4">
        <f>IF(8=Assumptions!$B$10,Assumptions!$B$9,0)</f>
        <v>0</v>
      </c>
      <c r="J13" s="4">
        <f>IF(9=Assumptions!$B$10,Assumptions!$B$9,0)</f>
        <v>0</v>
      </c>
      <c r="K13" s="4">
        <f>IF(10=Assumptions!$B$10,Assumptions!$B$9,0)</f>
        <v>0</v>
      </c>
      <c r="L13" s="4">
        <f>IF(11=Assumptions!$B$10,Assumptions!$B$9,0)</f>
        <v>0</v>
      </c>
      <c r="M13" s="4">
        <f>IF(12=Assumptions!$B$10,Assumptions!$B$9,0)</f>
        <v>0</v>
      </c>
      <c r="N13" s="4">
        <f>IF(13=Assumptions!$B$10,Assumptions!$B$9,0)</f>
        <v>0</v>
      </c>
      <c r="O13" s="4">
        <f>IF(14=Assumptions!$B$10,Assumptions!$B$9,0)</f>
        <v>0</v>
      </c>
      <c r="P13" s="4">
        <f>IF(15=Assumptions!$B$10,Assumptions!$B$9,0)</f>
        <v>0</v>
      </c>
      <c r="Q13" s="4">
        <f>IF(16=Assumptions!$B$10,Assumptions!$B$9,0)</f>
        <v>0</v>
      </c>
      <c r="R13" s="4">
        <f>IF(17=Assumptions!$B$10,Assumptions!$B$9,0)</f>
        <v>0</v>
      </c>
      <c r="S13" s="4">
        <f>IF(18=Assumptions!$B$10,Assumptions!$B$9,0)</f>
        <v>0</v>
      </c>
      <c r="T13" s="4">
        <f>IF(19=Assumptions!$B$10,Assumptions!$B$9,0)</f>
        <v>0</v>
      </c>
      <c r="U13" s="4">
        <f>IF(20=Assumptions!$B$10,Assumptions!$B$9,0)</f>
        <v>0</v>
      </c>
      <c r="V13" s="4">
        <f>IF(21=Assumptions!$B$10,Assumptions!$B$9,0)</f>
        <v>0</v>
      </c>
      <c r="W13" s="4">
        <f>IF(22=Assumptions!$B$10,Assumptions!$B$9,0)</f>
        <v>0</v>
      </c>
      <c r="X13" s="4">
        <f>IF(23=Assumptions!$B$10,Assumptions!$B$9,0)</f>
        <v>0</v>
      </c>
      <c r="Y13" s="4">
        <f>IF(24=Assumptions!$B$10,Assumptions!$B$9,0)</f>
        <v>0</v>
      </c>
      <c r="Z13" s="4">
        <f t="shared" si="5"/>
        <v>0</v>
      </c>
    </row>
    <row r="14" spans="1:26" ht="16.5">
      <c r="A14" s="1" t="s">
        <v>125</v>
      </c>
      <c r="B14" s="4">
        <f>Costs!B14</f>
        <v>37500</v>
      </c>
      <c r="C14" s="4">
        <f>Costs!C14</f>
        <v>0</v>
      </c>
      <c r="D14" s="4">
        <f>Costs!D14</f>
        <v>0</v>
      </c>
      <c r="E14" s="4">
        <f>Costs!E14</f>
        <v>0</v>
      </c>
      <c r="F14" s="4">
        <f>Costs!F14</f>
        <v>0</v>
      </c>
      <c r="G14" s="4">
        <f>Costs!G14</f>
        <v>0</v>
      </c>
      <c r="H14" s="4">
        <f>Costs!H14</f>
        <v>22500</v>
      </c>
      <c r="I14" s="4">
        <f>Costs!I14</f>
        <v>0</v>
      </c>
      <c r="J14" s="4">
        <f>Costs!J14</f>
        <v>0</v>
      </c>
      <c r="K14" s="4">
        <f>Costs!K14</f>
        <v>0</v>
      </c>
      <c r="L14" s="4">
        <f>Costs!L14</f>
        <v>0</v>
      </c>
      <c r="M14" s="4">
        <f>Costs!M14</f>
        <v>0</v>
      </c>
      <c r="N14" s="4">
        <f>Costs!N14</f>
        <v>0</v>
      </c>
      <c r="O14" s="4">
        <f>Costs!O14</f>
        <v>0</v>
      </c>
      <c r="P14" s="4">
        <f>Costs!P14</f>
        <v>0</v>
      </c>
      <c r="Q14" s="4">
        <f>Costs!Q14</f>
        <v>0</v>
      </c>
      <c r="R14" s="4">
        <f>Costs!R14</f>
        <v>0</v>
      </c>
      <c r="S14" s="4">
        <f>Costs!S14</f>
        <v>0</v>
      </c>
      <c r="T14" s="4">
        <f>Costs!T14</f>
        <v>0</v>
      </c>
      <c r="U14" s="4">
        <f>Costs!U14</f>
        <v>0</v>
      </c>
      <c r="V14" s="4">
        <f>Costs!V14</f>
        <v>0</v>
      </c>
      <c r="W14" s="4">
        <f>Costs!W14</f>
        <v>0</v>
      </c>
      <c r="X14" s="4">
        <f>Costs!X14</f>
        <v>0</v>
      </c>
      <c r="Y14" s="4">
        <f>Costs!Y14</f>
        <v>0</v>
      </c>
      <c r="Z14" s="4">
        <f t="shared" si="5"/>
        <v>60000</v>
      </c>
    </row>
    <row r="15" spans="1:26" ht="16.5">
      <c r="A15" s="1" t="s">
        <v>160</v>
      </c>
      <c r="B15" s="4">
        <f t="shared" ref="B15:Y15" si="6">B5+B11+B12+B13+B14</f>
        <v>76889.357900000003</v>
      </c>
      <c r="C15" s="4">
        <f t="shared" si="6"/>
        <v>39389.357900000003</v>
      </c>
      <c r="D15" s="4">
        <f t="shared" si="6"/>
        <v>39389.357900000003</v>
      </c>
      <c r="E15" s="4">
        <f t="shared" si="6"/>
        <v>46139.357900000003</v>
      </c>
      <c r="F15" s="4">
        <f t="shared" si="6"/>
        <v>46139.357900000003</v>
      </c>
      <c r="G15" s="4">
        <f t="shared" si="6"/>
        <v>68639.357900000003</v>
      </c>
      <c r="H15" s="4">
        <f t="shared" si="6"/>
        <v>88334.036850000004</v>
      </c>
      <c r="I15" s="4">
        <f t="shared" si="6"/>
        <v>65834.036850000004</v>
      </c>
      <c r="J15" s="4">
        <f t="shared" si="6"/>
        <v>65834.036850000004</v>
      </c>
      <c r="K15" s="4">
        <f t="shared" si="6"/>
        <v>65834.036850000004</v>
      </c>
      <c r="L15" s="4">
        <f t="shared" si="6"/>
        <v>65834.036850000004</v>
      </c>
      <c r="M15" s="4">
        <f t="shared" si="6"/>
        <v>95834.036850000004</v>
      </c>
      <c r="N15" s="4">
        <f t="shared" si="6"/>
        <v>71834.036850000004</v>
      </c>
      <c r="O15" s="4">
        <f t="shared" si="6"/>
        <v>71834.036850000004</v>
      </c>
      <c r="P15" s="4">
        <f t="shared" si="6"/>
        <v>71834.036850000004</v>
      </c>
      <c r="Q15" s="4">
        <f t="shared" si="6"/>
        <v>71834.036850000004</v>
      </c>
      <c r="R15" s="4">
        <f t="shared" si="6"/>
        <v>71834.036850000004</v>
      </c>
      <c r="S15" s="4">
        <f t="shared" si="6"/>
        <v>101834.03685</v>
      </c>
      <c r="T15" s="4">
        <f t="shared" si="6"/>
        <v>173409.088938</v>
      </c>
      <c r="U15" s="4">
        <f t="shared" si="6"/>
        <v>173409.088938</v>
      </c>
      <c r="V15" s="4">
        <f t="shared" si="6"/>
        <v>173409.088938</v>
      </c>
      <c r="W15" s="4">
        <f t="shared" si="6"/>
        <v>274862.24056199996</v>
      </c>
      <c r="X15" s="4">
        <f t="shared" si="6"/>
        <v>274862.24056199996</v>
      </c>
      <c r="Y15" s="4">
        <f t="shared" si="6"/>
        <v>304862.24056199996</v>
      </c>
      <c r="Z15" s="4">
        <f t="shared" si="5"/>
        <v>2599908.5780999996</v>
      </c>
    </row>
    <row r="16" spans="1:26" ht="16.5">
      <c r="A16" s="1" t="s">
        <v>161</v>
      </c>
      <c r="B16" s="4">
        <f t="shared" ref="B16:Y16" si="7">B4-B15</f>
        <v>-76889.357900000003</v>
      </c>
      <c r="C16" s="4">
        <f t="shared" si="7"/>
        <v>-39389.357900000003</v>
      </c>
      <c r="D16" s="4">
        <f t="shared" si="7"/>
        <v>-39389.357900000003</v>
      </c>
      <c r="E16" s="4">
        <f t="shared" si="7"/>
        <v>-46139.357900000003</v>
      </c>
      <c r="F16" s="4">
        <f t="shared" si="7"/>
        <v>-46139.357900000003</v>
      </c>
      <c r="G16" s="4">
        <f t="shared" si="7"/>
        <v>-68639.357900000003</v>
      </c>
      <c r="H16" s="4">
        <f t="shared" si="7"/>
        <v>-88334.036850000004</v>
      </c>
      <c r="I16" s="4">
        <f t="shared" si="7"/>
        <v>-65834.036850000004</v>
      </c>
      <c r="J16" s="4">
        <f t="shared" si="7"/>
        <v>-65834.036850000004</v>
      </c>
      <c r="K16" s="4">
        <f t="shared" si="7"/>
        <v>-65834.036850000004</v>
      </c>
      <c r="L16" s="4">
        <f t="shared" si="7"/>
        <v>-65834.036850000004</v>
      </c>
      <c r="M16" s="4">
        <f t="shared" si="7"/>
        <v>-95834.036850000004</v>
      </c>
      <c r="N16" s="4">
        <f t="shared" si="7"/>
        <v>-71834.036850000004</v>
      </c>
      <c r="O16" s="4">
        <f t="shared" si="7"/>
        <v>-71834.036850000004</v>
      </c>
      <c r="P16" s="4">
        <f t="shared" si="7"/>
        <v>-71834.036850000004</v>
      </c>
      <c r="Q16" s="4">
        <f t="shared" si="7"/>
        <v>-71834.036850000004</v>
      </c>
      <c r="R16" s="4">
        <f t="shared" si="7"/>
        <v>-71834.036850000004</v>
      </c>
      <c r="S16" s="4">
        <f t="shared" si="7"/>
        <v>-101834.03685</v>
      </c>
      <c r="T16" s="4">
        <f t="shared" si="7"/>
        <v>-173409.088938</v>
      </c>
      <c r="U16" s="4">
        <f t="shared" si="7"/>
        <v>-173409.088938</v>
      </c>
      <c r="V16" s="4">
        <f t="shared" si="7"/>
        <v>-173409.088938</v>
      </c>
      <c r="W16" s="4">
        <f t="shared" si="7"/>
        <v>-274862.24056199996</v>
      </c>
      <c r="X16" s="4">
        <f t="shared" si="7"/>
        <v>-274862.24056199996</v>
      </c>
      <c r="Y16" s="4">
        <f t="shared" si="7"/>
        <v>-304862.24056199996</v>
      </c>
      <c r="Z16" s="4">
        <f t="shared" si="5"/>
        <v>-2599908.5780999996</v>
      </c>
    </row>
    <row r="17" spans="1:26" ht="16.5">
      <c r="A17" s="1" t="s">
        <v>162</v>
      </c>
      <c r="B17" s="4">
        <f t="shared" ref="B17:Y17" si="8">B3+B16</f>
        <v>-76889.357900000003</v>
      </c>
      <c r="C17" s="4">
        <f t="shared" si="8"/>
        <v>-116278.71580000001</v>
      </c>
      <c r="D17" s="4">
        <f t="shared" si="8"/>
        <v>-155668.07370000001</v>
      </c>
      <c r="E17" s="4">
        <f t="shared" si="8"/>
        <v>-201807.43160000001</v>
      </c>
      <c r="F17" s="4">
        <f t="shared" si="8"/>
        <v>-247946.78950000001</v>
      </c>
      <c r="G17" s="4">
        <f t="shared" si="8"/>
        <v>-316586.14740000002</v>
      </c>
      <c r="H17" s="4">
        <f t="shared" si="8"/>
        <v>-404920.18425000005</v>
      </c>
      <c r="I17" s="4">
        <f t="shared" si="8"/>
        <v>-470754.22110000008</v>
      </c>
      <c r="J17" s="4">
        <f t="shared" si="8"/>
        <v>-536588.25795000012</v>
      </c>
      <c r="K17" s="4">
        <f t="shared" si="8"/>
        <v>-602422.29480000015</v>
      </c>
      <c r="L17" s="4">
        <f t="shared" si="8"/>
        <v>-668256.33165000018</v>
      </c>
      <c r="M17" s="4">
        <f t="shared" si="8"/>
        <v>-764090.36850000022</v>
      </c>
      <c r="N17" s="4">
        <f t="shared" si="8"/>
        <v>-835924.40535000025</v>
      </c>
      <c r="O17" s="4">
        <f t="shared" si="8"/>
        <v>-907758.44220000028</v>
      </c>
      <c r="P17" s="4">
        <f t="shared" si="8"/>
        <v>-979592.47905000031</v>
      </c>
      <c r="Q17" s="4">
        <f t="shared" si="8"/>
        <v>-1051426.5159000002</v>
      </c>
      <c r="R17" s="4">
        <f t="shared" si="8"/>
        <v>-1123260.5527500003</v>
      </c>
      <c r="S17" s="4">
        <f t="shared" si="8"/>
        <v>-1225094.5896000003</v>
      </c>
      <c r="T17" s="4">
        <f t="shared" si="8"/>
        <v>-1398503.6785380002</v>
      </c>
      <c r="U17" s="4">
        <f t="shared" si="8"/>
        <v>-1571912.7674760001</v>
      </c>
      <c r="V17" s="4">
        <f t="shared" si="8"/>
        <v>-1745321.856414</v>
      </c>
      <c r="W17" s="4">
        <f t="shared" si="8"/>
        <v>-2020184.0969759999</v>
      </c>
      <c r="X17" s="4">
        <f t="shared" si="8"/>
        <v>-2295046.3375379997</v>
      </c>
      <c r="Y17" s="4">
        <f t="shared" si="8"/>
        <v>-2599908.5780999996</v>
      </c>
      <c r="Z17" s="4">
        <f>Y17</f>
        <v>-2599908.5780999996</v>
      </c>
    </row>
    <row r="18" spans="1:26" ht="16.5">
      <c r="A18" s="1" t="s">
        <v>163</v>
      </c>
      <c r="B18" s="4">
        <f>IF(1=1,Summary!B$19,0)</f>
        <v>4000000</v>
      </c>
      <c r="C18" s="4">
        <f>IF(2=1,Summary!B$19,0)</f>
        <v>0</v>
      </c>
      <c r="D18" s="4">
        <f>IF(3=1,Summary!B$19,0)</f>
        <v>0</v>
      </c>
      <c r="E18" s="4">
        <f>IF(4=1,Summary!B$19,0)</f>
        <v>0</v>
      </c>
      <c r="F18" s="4">
        <f>IF(5=1,Summary!B$19,0)</f>
        <v>0</v>
      </c>
      <c r="G18" s="4">
        <f>IF(6=1,Summary!B$19,0)</f>
        <v>0</v>
      </c>
      <c r="H18" s="4">
        <f>IF(7=1,Summary!B$19,0)</f>
        <v>0</v>
      </c>
      <c r="I18" s="4">
        <f>IF(8=1,Summary!B$19,0)</f>
        <v>0</v>
      </c>
      <c r="J18" s="4">
        <f>IF(9=1,Summary!B$19,0)</f>
        <v>0</v>
      </c>
      <c r="K18" s="4">
        <f>IF(10=1,Summary!B$19,0)</f>
        <v>0</v>
      </c>
      <c r="L18" s="4">
        <f>IF(11=1,Summary!B$19,0)</f>
        <v>0</v>
      </c>
      <c r="M18" s="4">
        <f>IF(12=1,Summary!B$19,0)</f>
        <v>0</v>
      </c>
      <c r="N18" s="4">
        <f>IF(13=1,Summary!B$19,0)</f>
        <v>0</v>
      </c>
      <c r="O18" s="4">
        <f>IF(14=1,Summary!B$19,0)</f>
        <v>0</v>
      </c>
      <c r="P18" s="4">
        <f>IF(15=1,Summary!B$19,0)</f>
        <v>0</v>
      </c>
      <c r="Q18" s="4">
        <f>IF(16=1,Summary!B$19,0)</f>
        <v>0</v>
      </c>
      <c r="R18" s="4">
        <f>IF(17=1,Summary!B$19,0)</f>
        <v>0</v>
      </c>
      <c r="S18" s="4">
        <f>IF(18=1,Summary!B$19,0)</f>
        <v>0</v>
      </c>
      <c r="T18" s="4">
        <f>IF(19=1,Summary!B$19,0)</f>
        <v>0</v>
      </c>
      <c r="U18" s="4">
        <f>IF(20=1,Summary!B$19,0)</f>
        <v>0</v>
      </c>
      <c r="V18" s="4">
        <f>IF(21=1,Summary!B$19,0)</f>
        <v>0</v>
      </c>
      <c r="W18" s="4">
        <f>IF(22=1,Summary!B$19,0)</f>
        <v>0</v>
      </c>
      <c r="X18" s="4">
        <f>IF(23=1,Summary!B$19,0)</f>
        <v>0</v>
      </c>
      <c r="Y18" s="4">
        <f>IF(24=1,Summary!B$19,0)</f>
        <v>0</v>
      </c>
      <c r="Z18" s="4">
        <f>SUM(B18:Y18)</f>
        <v>4000000</v>
      </c>
    </row>
    <row r="19" spans="1:26" ht="16.5">
      <c r="A19" s="1" t="s">
        <v>164</v>
      </c>
      <c r="B19" s="4">
        <f>Assumptions!$B$4</f>
        <v>0</v>
      </c>
      <c r="C19" s="4">
        <f t="shared" ref="C19:Y19" si="9">B20</f>
        <v>3923110.6420999998</v>
      </c>
      <c r="D19" s="4">
        <f t="shared" si="9"/>
        <v>3883721.2841999996</v>
      </c>
      <c r="E19" s="4">
        <f t="shared" si="9"/>
        <v>3844331.9262999995</v>
      </c>
      <c r="F19" s="4">
        <f t="shared" si="9"/>
        <v>3798192.5683999993</v>
      </c>
      <c r="G19" s="4">
        <f t="shared" si="9"/>
        <v>3752053.2104999991</v>
      </c>
      <c r="H19" s="4">
        <f t="shared" si="9"/>
        <v>3683413.8525999989</v>
      </c>
      <c r="I19" s="4">
        <f t="shared" si="9"/>
        <v>3595079.8157499991</v>
      </c>
      <c r="J19" s="4">
        <f t="shared" si="9"/>
        <v>3529245.7788999993</v>
      </c>
      <c r="K19" s="4">
        <f t="shared" si="9"/>
        <v>3463411.7420499995</v>
      </c>
      <c r="L19" s="4">
        <f t="shared" si="9"/>
        <v>3397577.7051999997</v>
      </c>
      <c r="M19" s="4">
        <f t="shared" si="9"/>
        <v>3331743.6683499999</v>
      </c>
      <c r="N19" s="4">
        <f t="shared" si="9"/>
        <v>3235909.6315000001</v>
      </c>
      <c r="O19" s="4">
        <f t="shared" si="9"/>
        <v>3164075.5946500003</v>
      </c>
      <c r="P19" s="4">
        <f t="shared" si="9"/>
        <v>3092241.5578000005</v>
      </c>
      <c r="Q19" s="4">
        <f t="shared" si="9"/>
        <v>3020407.5209500007</v>
      </c>
      <c r="R19" s="4">
        <f t="shared" si="9"/>
        <v>2948573.4841000009</v>
      </c>
      <c r="S19" s="4">
        <f t="shared" si="9"/>
        <v>2876739.4472500011</v>
      </c>
      <c r="T19" s="4">
        <f t="shared" si="9"/>
        <v>2774905.4104000013</v>
      </c>
      <c r="U19" s="4">
        <f t="shared" si="9"/>
        <v>2601496.3214620012</v>
      </c>
      <c r="V19" s="4">
        <f t="shared" si="9"/>
        <v>2428087.232524001</v>
      </c>
      <c r="W19" s="4">
        <f t="shared" si="9"/>
        <v>2254678.1435860009</v>
      </c>
      <c r="X19" s="4">
        <f t="shared" si="9"/>
        <v>1979815.903024001</v>
      </c>
      <c r="Y19" s="4">
        <f t="shared" si="9"/>
        <v>1704953.6624620012</v>
      </c>
      <c r="Z19" s="4">
        <f t="shared" ref="Z19:Z24" si="10">Y19</f>
        <v>1704953.6624620012</v>
      </c>
    </row>
    <row r="20" spans="1:26" ht="16.5">
      <c r="A20" s="1" t="s">
        <v>165</v>
      </c>
      <c r="B20" s="4">
        <f t="shared" ref="B20:Y20" si="11">B19+B4+B18-B15</f>
        <v>3923110.6420999998</v>
      </c>
      <c r="C20" s="4">
        <f t="shared" si="11"/>
        <v>3883721.2841999996</v>
      </c>
      <c r="D20" s="4">
        <f t="shared" si="11"/>
        <v>3844331.9262999995</v>
      </c>
      <c r="E20" s="4">
        <f t="shared" si="11"/>
        <v>3798192.5683999993</v>
      </c>
      <c r="F20" s="4">
        <f t="shared" si="11"/>
        <v>3752053.2104999991</v>
      </c>
      <c r="G20" s="4">
        <f t="shared" si="11"/>
        <v>3683413.8525999989</v>
      </c>
      <c r="H20" s="4">
        <f t="shared" si="11"/>
        <v>3595079.8157499991</v>
      </c>
      <c r="I20" s="4">
        <f t="shared" si="11"/>
        <v>3529245.7788999993</v>
      </c>
      <c r="J20" s="4">
        <f t="shared" si="11"/>
        <v>3463411.7420499995</v>
      </c>
      <c r="K20" s="4">
        <f t="shared" si="11"/>
        <v>3397577.7051999997</v>
      </c>
      <c r="L20" s="4">
        <f t="shared" si="11"/>
        <v>3331743.6683499999</v>
      </c>
      <c r="M20" s="4">
        <f t="shared" si="11"/>
        <v>3235909.6315000001</v>
      </c>
      <c r="N20" s="4">
        <f t="shared" si="11"/>
        <v>3164075.5946500003</v>
      </c>
      <c r="O20" s="4">
        <f t="shared" si="11"/>
        <v>3092241.5578000005</v>
      </c>
      <c r="P20" s="4">
        <f t="shared" si="11"/>
        <v>3020407.5209500007</v>
      </c>
      <c r="Q20" s="4">
        <f t="shared" si="11"/>
        <v>2948573.4841000009</v>
      </c>
      <c r="R20" s="4">
        <f t="shared" si="11"/>
        <v>2876739.4472500011</v>
      </c>
      <c r="S20" s="4">
        <f t="shared" si="11"/>
        <v>2774905.4104000013</v>
      </c>
      <c r="T20" s="4">
        <f t="shared" si="11"/>
        <v>2601496.3214620012</v>
      </c>
      <c r="U20" s="4">
        <f t="shared" si="11"/>
        <v>2428087.232524001</v>
      </c>
      <c r="V20" s="4">
        <f t="shared" si="11"/>
        <v>2254678.1435860009</v>
      </c>
      <c r="W20" s="4">
        <f t="shared" si="11"/>
        <v>1979815.903024001</v>
      </c>
      <c r="X20" s="4">
        <f t="shared" si="11"/>
        <v>1704953.6624620012</v>
      </c>
      <c r="Y20" s="4">
        <f t="shared" si="11"/>
        <v>1400091.4219000014</v>
      </c>
      <c r="Z20" s="4">
        <f t="shared" si="10"/>
        <v>1400091.4219000014</v>
      </c>
    </row>
    <row r="21" spans="1:26" ht="16.5">
      <c r="A21" s="1" t="s">
        <v>143</v>
      </c>
      <c r="B21" s="4">
        <f>SUM($B13:B13)</f>
        <v>0</v>
      </c>
      <c r="C21" s="4">
        <f>SUM($B13:C13)</f>
        <v>0</v>
      </c>
      <c r="D21" s="4">
        <f>SUM($B13:D13)</f>
        <v>0</v>
      </c>
      <c r="E21" s="4">
        <f>SUM($B13:E13)</f>
        <v>0</v>
      </c>
      <c r="F21" s="4">
        <f>SUM($B13:F13)</f>
        <v>0</v>
      </c>
      <c r="G21" s="4">
        <f>SUM($B13:G13)</f>
        <v>0</v>
      </c>
      <c r="H21" s="4">
        <f>SUM($B13:H13)</f>
        <v>0</v>
      </c>
      <c r="I21" s="4">
        <f>SUM($B13:I13)</f>
        <v>0</v>
      </c>
      <c r="J21" s="4">
        <f>SUM($B13:J13)</f>
        <v>0</v>
      </c>
      <c r="K21" s="4">
        <f>SUM($B13:K13)</f>
        <v>0</v>
      </c>
      <c r="L21" s="4">
        <f>SUM($B13:L13)</f>
        <v>0</v>
      </c>
      <c r="M21" s="4">
        <f>SUM($B13:M13)</f>
        <v>0</v>
      </c>
      <c r="N21" s="4">
        <f>SUM($B13:N13)</f>
        <v>0</v>
      </c>
      <c r="O21" s="4">
        <f>SUM($B13:O13)</f>
        <v>0</v>
      </c>
      <c r="P21" s="4">
        <f>SUM($B13:P13)</f>
        <v>0</v>
      </c>
      <c r="Q21" s="4">
        <f>SUM($B13:Q13)</f>
        <v>0</v>
      </c>
      <c r="R21" s="4">
        <f>SUM($B13:R13)</f>
        <v>0</v>
      </c>
      <c r="S21" s="4">
        <f>SUM($B13:S13)</f>
        <v>0</v>
      </c>
      <c r="T21" s="4">
        <f>SUM($B13:T13)</f>
        <v>0</v>
      </c>
      <c r="U21" s="4">
        <f>SUM($B13:U13)</f>
        <v>0</v>
      </c>
      <c r="V21" s="4">
        <f>SUM($B13:V13)</f>
        <v>0</v>
      </c>
      <c r="W21" s="4">
        <f>SUM($B13:W13)</f>
        <v>0</v>
      </c>
      <c r="X21" s="4">
        <f>SUM($B13:X13)</f>
        <v>0</v>
      </c>
      <c r="Y21" s="4">
        <f>SUM($B13:Y13)</f>
        <v>0</v>
      </c>
      <c r="Z21" s="4">
        <f t="shared" si="10"/>
        <v>0</v>
      </c>
    </row>
    <row r="22" spans="1:26" ht="16.5">
      <c r="A22" s="1" t="s">
        <v>166</v>
      </c>
      <c r="B22" s="4">
        <f t="shared" ref="B22:Y22" si="12">B10</f>
        <v>0</v>
      </c>
      <c r="C22" s="4">
        <f t="shared" si="12"/>
        <v>0</v>
      </c>
      <c r="D22" s="4">
        <f t="shared" si="12"/>
        <v>0</v>
      </c>
      <c r="E22" s="4">
        <f t="shared" si="12"/>
        <v>0</v>
      </c>
      <c r="F22" s="4">
        <f t="shared" si="12"/>
        <v>0</v>
      </c>
      <c r="G22" s="4">
        <f t="shared" si="12"/>
        <v>0</v>
      </c>
      <c r="H22" s="4">
        <f t="shared" si="12"/>
        <v>0</v>
      </c>
      <c r="I22" s="4">
        <f t="shared" si="12"/>
        <v>0</v>
      </c>
      <c r="J22" s="4">
        <f t="shared" si="12"/>
        <v>0</v>
      </c>
      <c r="K22" s="4">
        <f t="shared" si="12"/>
        <v>0</v>
      </c>
      <c r="L22" s="4">
        <f t="shared" si="12"/>
        <v>0</v>
      </c>
      <c r="M22" s="4">
        <f t="shared" si="12"/>
        <v>0</v>
      </c>
      <c r="N22" s="4">
        <f t="shared" si="12"/>
        <v>0</v>
      </c>
      <c r="O22" s="4">
        <f t="shared" si="12"/>
        <v>0</v>
      </c>
      <c r="P22" s="4">
        <f t="shared" si="12"/>
        <v>0</v>
      </c>
      <c r="Q22" s="4">
        <f t="shared" si="12"/>
        <v>0</v>
      </c>
      <c r="R22" s="4">
        <f t="shared" si="12"/>
        <v>0</v>
      </c>
      <c r="S22" s="4">
        <f t="shared" si="12"/>
        <v>0</v>
      </c>
      <c r="T22" s="4">
        <f t="shared" si="12"/>
        <v>0</v>
      </c>
      <c r="U22" s="4">
        <f t="shared" si="12"/>
        <v>0</v>
      </c>
      <c r="V22" s="4">
        <f t="shared" si="12"/>
        <v>0</v>
      </c>
      <c r="W22" s="4">
        <f t="shared" si="12"/>
        <v>0</v>
      </c>
      <c r="X22" s="4">
        <f t="shared" si="12"/>
        <v>0</v>
      </c>
      <c r="Y22" s="4">
        <f t="shared" si="12"/>
        <v>0</v>
      </c>
      <c r="Z22" s="4">
        <f t="shared" si="10"/>
        <v>0</v>
      </c>
    </row>
    <row r="23" spans="1:26" ht="16.5">
      <c r="A23" s="1" t="s">
        <v>141</v>
      </c>
      <c r="B23" s="4">
        <f>Revenue!B6</f>
        <v>0</v>
      </c>
      <c r="C23" s="4">
        <f>Revenue!C6</f>
        <v>0</v>
      </c>
      <c r="D23" s="4">
        <f>Revenue!D6</f>
        <v>0</v>
      </c>
      <c r="E23" s="4">
        <f>Revenue!E6</f>
        <v>0</v>
      </c>
      <c r="F23" s="4">
        <f>Revenue!F6</f>
        <v>0</v>
      </c>
      <c r="G23" s="4">
        <f>Revenue!G6</f>
        <v>0</v>
      </c>
      <c r="H23" s="4">
        <f>Revenue!H6</f>
        <v>0</v>
      </c>
      <c r="I23" s="4">
        <f>Revenue!I6</f>
        <v>0</v>
      </c>
      <c r="J23" s="4">
        <f>Revenue!J6</f>
        <v>0</v>
      </c>
      <c r="K23" s="4">
        <f>Revenue!K6</f>
        <v>0</v>
      </c>
      <c r="L23" s="4">
        <f>Revenue!L6</f>
        <v>0</v>
      </c>
      <c r="M23" s="4">
        <f>Revenue!M6</f>
        <v>0</v>
      </c>
      <c r="N23" s="4">
        <f>Revenue!N6</f>
        <v>0</v>
      </c>
      <c r="O23" s="4">
        <f>Revenue!O6</f>
        <v>0</v>
      </c>
      <c r="P23" s="4">
        <f>Revenue!P6</f>
        <v>0</v>
      </c>
      <c r="Q23" s="4">
        <f>Revenue!Q6</f>
        <v>0</v>
      </c>
      <c r="R23" s="4">
        <f>Revenue!R6</f>
        <v>0</v>
      </c>
      <c r="S23" s="4">
        <f>Revenue!S6</f>
        <v>0</v>
      </c>
      <c r="T23" s="4">
        <f>Revenue!T6</f>
        <v>0</v>
      </c>
      <c r="U23" s="4">
        <f>Revenue!U6</f>
        <v>0</v>
      </c>
      <c r="V23" s="4">
        <f>Revenue!V6</f>
        <v>0</v>
      </c>
      <c r="W23" s="4">
        <f>Revenue!W6</f>
        <v>0</v>
      </c>
      <c r="X23" s="4">
        <f>Revenue!X6</f>
        <v>0</v>
      </c>
      <c r="Y23" s="4">
        <f>Revenue!Y6</f>
        <v>0</v>
      </c>
      <c r="Z23" s="4">
        <f t="shared" si="10"/>
        <v>0</v>
      </c>
    </row>
    <row r="24" spans="1:26" ht="16.5">
      <c r="A24" s="1" t="s">
        <v>144</v>
      </c>
      <c r="B24" s="4">
        <f>SUM(Costs!B14:'Costs'!B14)-SUM(Costs!B15:'Costs'!B15)</f>
        <v>36458.333333333336</v>
      </c>
      <c r="C24" s="4">
        <f>SUM(Costs!B14:'Costs'!C14)-SUM(Costs!B15:'Costs'!C15)</f>
        <v>35416.666666666664</v>
      </c>
      <c r="D24" s="4">
        <f>SUM(Costs!B14:'Costs'!D14)-SUM(Costs!B15:'Costs'!D15)</f>
        <v>34375</v>
      </c>
      <c r="E24" s="4">
        <f>SUM(Costs!B14:'Costs'!E14)-SUM(Costs!B15:'Costs'!E15)</f>
        <v>33333.333333333336</v>
      </c>
      <c r="F24" s="4">
        <f>SUM(Costs!B14:'Costs'!F14)-SUM(Costs!B15:'Costs'!F15)</f>
        <v>32291.666666666664</v>
      </c>
      <c r="G24" s="4">
        <f>SUM(Costs!B14:'Costs'!G14)-SUM(Costs!B15:'Costs'!G15)</f>
        <v>31250</v>
      </c>
      <c r="H24" s="4">
        <f>SUM(Costs!B14:'Costs'!H14)-SUM(Costs!B15:'Costs'!H15)</f>
        <v>52083.333333333328</v>
      </c>
      <c r="I24" s="4">
        <f>SUM(Costs!B14:'Costs'!I14)-SUM(Costs!B15:'Costs'!I15)</f>
        <v>50416.666666666664</v>
      </c>
      <c r="J24" s="4">
        <f>SUM(Costs!B14:'Costs'!J14)-SUM(Costs!B15:'Costs'!J15)</f>
        <v>48750</v>
      </c>
      <c r="K24" s="4">
        <f>SUM(Costs!B14:'Costs'!K14)-SUM(Costs!B15:'Costs'!K15)</f>
        <v>47083.333333333336</v>
      </c>
      <c r="L24" s="4">
        <f>SUM(Costs!B14:'Costs'!L14)-SUM(Costs!B15:'Costs'!L15)</f>
        <v>45416.666666666672</v>
      </c>
      <c r="M24" s="4">
        <f>SUM(Costs!B14:'Costs'!M14)-SUM(Costs!B15:'Costs'!M15)</f>
        <v>43750</v>
      </c>
      <c r="N24" s="4">
        <f>SUM(Costs!B14:'Costs'!N14)-SUM(Costs!B15:'Costs'!N15)</f>
        <v>42083.333333333336</v>
      </c>
      <c r="O24" s="4">
        <f>SUM(Costs!B14:'Costs'!O14)-SUM(Costs!B15:'Costs'!O15)</f>
        <v>40416.666666666672</v>
      </c>
      <c r="P24" s="4">
        <f>SUM(Costs!B14:'Costs'!P14)-SUM(Costs!B15:'Costs'!P15)</f>
        <v>38750</v>
      </c>
      <c r="Q24" s="4">
        <f>SUM(Costs!B14:'Costs'!Q14)-SUM(Costs!B15:'Costs'!Q15)</f>
        <v>37083.333333333328</v>
      </c>
      <c r="R24" s="4">
        <f>SUM(Costs!B14:'Costs'!R14)-SUM(Costs!B15:'Costs'!R15)</f>
        <v>35416.666666666664</v>
      </c>
      <c r="S24" s="4">
        <f>SUM(Costs!B14:'Costs'!S14)-SUM(Costs!B15:'Costs'!S15)</f>
        <v>33750</v>
      </c>
      <c r="T24" s="4">
        <f>SUM(Costs!B14:'Costs'!T14)-SUM(Costs!B15:'Costs'!T15)</f>
        <v>32083.333333333328</v>
      </c>
      <c r="U24" s="4">
        <f>SUM(Costs!B14:'Costs'!U14)-SUM(Costs!B15:'Costs'!U15)</f>
        <v>30416.666666666661</v>
      </c>
      <c r="V24" s="4">
        <f>SUM(Costs!B14:'Costs'!V14)-SUM(Costs!B15:'Costs'!V15)</f>
        <v>28749.999999999993</v>
      </c>
      <c r="W24" s="4">
        <f>SUM(Costs!B14:'Costs'!W14)-SUM(Costs!B15:'Costs'!W15)</f>
        <v>27083.333333333328</v>
      </c>
      <c r="X24" s="4">
        <f>SUM(Costs!B14:'Costs'!X14)-SUM(Costs!B15:'Costs'!X15)</f>
        <v>25416.666666666664</v>
      </c>
      <c r="Y24" s="4">
        <f>SUM(Costs!B14:'Costs'!Y14)-SUM(Costs!B15:'Costs'!Y15)</f>
        <v>23750</v>
      </c>
      <c r="Z24" s="4">
        <f t="shared" si="10"/>
        <v>23750</v>
      </c>
    </row>
    <row r="25" spans="1:26" ht="16.5">
      <c r="A25" s="1" t="s">
        <v>167</v>
      </c>
      <c r="B25" s="4">
        <f t="shared" ref="B25:Y25" si="13">B11-B6-B7+B9</f>
        <v>0</v>
      </c>
      <c r="C25" s="4">
        <f t="shared" si="13"/>
        <v>0</v>
      </c>
      <c r="D25" s="4">
        <f t="shared" si="13"/>
        <v>0</v>
      </c>
      <c r="E25" s="4">
        <f t="shared" si="13"/>
        <v>0</v>
      </c>
      <c r="F25" s="4">
        <f t="shared" si="13"/>
        <v>0</v>
      </c>
      <c r="G25" s="4">
        <f t="shared" si="13"/>
        <v>0</v>
      </c>
      <c r="H25" s="4">
        <f t="shared" si="13"/>
        <v>0</v>
      </c>
      <c r="I25" s="4">
        <f t="shared" si="13"/>
        <v>0</v>
      </c>
      <c r="J25" s="4">
        <f t="shared" si="13"/>
        <v>0</v>
      </c>
      <c r="K25" s="4">
        <f t="shared" si="13"/>
        <v>0</v>
      </c>
      <c r="L25" s="4">
        <f t="shared" si="13"/>
        <v>0</v>
      </c>
      <c r="M25" s="4">
        <f t="shared" si="13"/>
        <v>0</v>
      </c>
      <c r="N25" s="4">
        <f t="shared" si="13"/>
        <v>0</v>
      </c>
      <c r="O25" s="4">
        <f t="shared" si="13"/>
        <v>0</v>
      </c>
      <c r="P25" s="4">
        <f t="shared" si="13"/>
        <v>0</v>
      </c>
      <c r="Q25" s="4">
        <f t="shared" si="13"/>
        <v>0</v>
      </c>
      <c r="R25" s="4">
        <f t="shared" si="13"/>
        <v>0</v>
      </c>
      <c r="S25" s="4">
        <f t="shared" si="13"/>
        <v>0</v>
      </c>
      <c r="T25" s="4">
        <f t="shared" si="13"/>
        <v>0</v>
      </c>
      <c r="U25" s="4">
        <f t="shared" si="13"/>
        <v>0</v>
      </c>
      <c r="V25" s="4">
        <f t="shared" si="13"/>
        <v>0</v>
      </c>
      <c r="W25" s="4">
        <f t="shared" si="13"/>
        <v>0</v>
      </c>
      <c r="X25" s="4">
        <f t="shared" si="13"/>
        <v>0</v>
      </c>
      <c r="Y25" s="4">
        <f t="shared" si="13"/>
        <v>0</v>
      </c>
      <c r="Z25" s="4">
        <f>SUM(B25:Y25)</f>
        <v>0</v>
      </c>
    </row>
    <row r="34" spans="1:26" ht="18">
      <c r="A34" s="6" t="s">
        <v>3</v>
      </c>
    </row>
    <row r="35" spans="1:26" ht="33">
      <c r="A35" s="1" t="s">
        <v>104</v>
      </c>
      <c r="B35" s="11">
        <f>EDATE(Assumptions!$B$3,0)</f>
        <v>46327</v>
      </c>
      <c r="C35" s="11">
        <f>EDATE(Assumptions!$B$3,1)</f>
        <v>46357</v>
      </c>
      <c r="D35" s="11">
        <f>EDATE(Assumptions!$B$3,2)</f>
        <v>46388</v>
      </c>
      <c r="E35" s="11">
        <f>EDATE(Assumptions!$B$3,3)</f>
        <v>46419</v>
      </c>
      <c r="F35" s="11">
        <f>EDATE(Assumptions!$B$3,4)</f>
        <v>46447</v>
      </c>
      <c r="G35" s="11">
        <f>EDATE(Assumptions!$B$3,5)</f>
        <v>46478</v>
      </c>
      <c r="H35" s="11">
        <f>EDATE(Assumptions!$B$3,6)</f>
        <v>46508</v>
      </c>
      <c r="I35" s="11">
        <f>EDATE(Assumptions!$B$3,7)</f>
        <v>46539</v>
      </c>
      <c r="J35" s="11">
        <f>EDATE(Assumptions!$B$3,8)</f>
        <v>46569</v>
      </c>
      <c r="K35" s="11">
        <f>EDATE(Assumptions!$B$3,9)</f>
        <v>46600</v>
      </c>
      <c r="L35" s="11">
        <f>EDATE(Assumptions!$B$3,10)</f>
        <v>46631</v>
      </c>
      <c r="M35" s="11">
        <f>EDATE(Assumptions!$B$3,11)</f>
        <v>46661</v>
      </c>
      <c r="N35" s="11">
        <f>EDATE(Assumptions!$B$3,12)</f>
        <v>46692</v>
      </c>
      <c r="O35" s="11">
        <f>EDATE(Assumptions!$B$3,13)</f>
        <v>46722</v>
      </c>
      <c r="P35" s="11">
        <f>EDATE(Assumptions!$B$3,14)</f>
        <v>46753</v>
      </c>
      <c r="Q35" s="11">
        <f>EDATE(Assumptions!$B$3,15)</f>
        <v>46784</v>
      </c>
      <c r="R35" s="11">
        <f>EDATE(Assumptions!$B$3,16)</f>
        <v>46813</v>
      </c>
      <c r="S35" s="11">
        <f>EDATE(Assumptions!$B$3,17)</f>
        <v>46844</v>
      </c>
      <c r="T35" s="11">
        <f>EDATE(Assumptions!$B$3,18)</f>
        <v>46874</v>
      </c>
      <c r="U35" s="11">
        <f>EDATE(Assumptions!$B$3,19)</f>
        <v>46905</v>
      </c>
      <c r="V35" s="11">
        <f>EDATE(Assumptions!$B$3,20)</f>
        <v>46935</v>
      </c>
      <c r="W35" s="11">
        <f>EDATE(Assumptions!$B$3,21)</f>
        <v>46966</v>
      </c>
      <c r="X35" s="11">
        <f>EDATE(Assumptions!$B$3,22)</f>
        <v>46997</v>
      </c>
      <c r="Y35" s="11">
        <f>EDATE(Assumptions!$B$3,23)</f>
        <v>47027</v>
      </c>
      <c r="Z35" s="1" t="s">
        <v>105</v>
      </c>
    </row>
    <row r="36" spans="1:26" ht="16.5">
      <c r="A36" s="1" t="s">
        <v>149</v>
      </c>
      <c r="B36" s="4">
        <f>Assumptions!$B$4</f>
        <v>0</v>
      </c>
      <c r="C36" s="4">
        <f t="shared" ref="C36:Y36" si="14">B50</f>
        <v>-121778.71580000001</v>
      </c>
      <c r="D36" s="4">
        <f t="shared" si="14"/>
        <v>-193557.43160000001</v>
      </c>
      <c r="E36" s="4">
        <f t="shared" si="14"/>
        <v>-265336.14740000002</v>
      </c>
      <c r="F36" s="4">
        <f t="shared" si="14"/>
        <v>-346114.86320000002</v>
      </c>
      <c r="G36" s="4">
        <f t="shared" si="14"/>
        <v>-426893.57900000003</v>
      </c>
      <c r="H36" s="4">
        <f t="shared" si="14"/>
        <v>-537672.29480000003</v>
      </c>
      <c r="I36" s="4">
        <f t="shared" si="14"/>
        <v>-673377.24919999996</v>
      </c>
      <c r="J36" s="4">
        <f t="shared" si="14"/>
        <v>-779082.20360000001</v>
      </c>
      <c r="K36" s="4">
        <f t="shared" si="14"/>
        <v>-884787.15800000005</v>
      </c>
      <c r="L36" s="4">
        <f t="shared" si="14"/>
        <v>-990492.1124000001</v>
      </c>
      <c r="M36" s="4">
        <f t="shared" si="14"/>
        <v>-1096197.0668000001</v>
      </c>
      <c r="N36" s="4">
        <f t="shared" si="14"/>
        <v>-1241902.0212000001</v>
      </c>
      <c r="O36" s="4">
        <f t="shared" si="14"/>
        <v>-1355606.9756</v>
      </c>
      <c r="P36" s="4">
        <f t="shared" si="14"/>
        <v>-1469311.93</v>
      </c>
      <c r="Q36" s="4">
        <f t="shared" si="14"/>
        <v>-1583016.8843999999</v>
      </c>
      <c r="R36" s="4">
        <f t="shared" si="14"/>
        <v>-1696721.8387999998</v>
      </c>
      <c r="S36" s="4">
        <f t="shared" si="14"/>
        <v>-1810426.7931999997</v>
      </c>
      <c r="T36" s="4">
        <f t="shared" si="14"/>
        <v>-1964131.7475999997</v>
      </c>
      <c r="U36" s="4">
        <f t="shared" si="14"/>
        <v>-2416420.2089599995</v>
      </c>
      <c r="V36" s="4">
        <f t="shared" si="14"/>
        <v>-2868708.6703199996</v>
      </c>
      <c r="W36" s="4">
        <f t="shared" si="14"/>
        <v>-3320997.1316799996</v>
      </c>
      <c r="X36" s="4">
        <f t="shared" si="14"/>
        <v>-4111462.7651199996</v>
      </c>
      <c r="Y36" s="4">
        <f t="shared" si="14"/>
        <v>-4901928.3985599997</v>
      </c>
      <c r="Z36" s="4">
        <f>Y36</f>
        <v>-4901928.3985599997</v>
      </c>
    </row>
    <row r="37" spans="1:26" ht="16.5">
      <c r="A37" s="1" t="s">
        <v>150</v>
      </c>
      <c r="B37" s="4">
        <f>Revenue!B17</f>
        <v>0</v>
      </c>
      <c r="C37" s="4">
        <f>Revenue!C17</f>
        <v>0</v>
      </c>
      <c r="D37" s="4">
        <f>Revenue!D17</f>
        <v>0</v>
      </c>
      <c r="E37" s="4">
        <f>Revenue!E17</f>
        <v>0</v>
      </c>
      <c r="F37" s="4">
        <f>Revenue!F17</f>
        <v>0</v>
      </c>
      <c r="G37" s="4">
        <f>Revenue!G17</f>
        <v>0</v>
      </c>
      <c r="H37" s="4">
        <f>Revenue!H17</f>
        <v>0</v>
      </c>
      <c r="I37" s="4">
        <f>Revenue!I17</f>
        <v>0</v>
      </c>
      <c r="J37" s="4">
        <f>Revenue!J17</f>
        <v>0</v>
      </c>
      <c r="K37" s="4">
        <f>Revenue!K17</f>
        <v>0</v>
      </c>
      <c r="L37" s="4">
        <f>Revenue!L17</f>
        <v>0</v>
      </c>
      <c r="M37" s="4">
        <f>Revenue!M17</f>
        <v>0</v>
      </c>
      <c r="N37" s="4">
        <f>Revenue!N17</f>
        <v>0</v>
      </c>
      <c r="O37" s="4">
        <f>Revenue!O17</f>
        <v>0</v>
      </c>
      <c r="P37" s="4">
        <f>Revenue!P17</f>
        <v>0</v>
      </c>
      <c r="Q37" s="4">
        <f>Revenue!Q17</f>
        <v>0</v>
      </c>
      <c r="R37" s="4">
        <f>Revenue!R17</f>
        <v>0</v>
      </c>
      <c r="S37" s="4">
        <f>Revenue!S17</f>
        <v>0</v>
      </c>
      <c r="T37" s="4">
        <f>Revenue!T17</f>
        <v>0</v>
      </c>
      <c r="U37" s="4">
        <f>Revenue!U17</f>
        <v>0</v>
      </c>
      <c r="V37" s="4">
        <f>Revenue!V17</f>
        <v>0</v>
      </c>
      <c r="W37" s="4">
        <f>Revenue!W17</f>
        <v>0</v>
      </c>
      <c r="X37" s="4">
        <f>Revenue!X17</f>
        <v>0</v>
      </c>
      <c r="Y37" s="4">
        <f>Revenue!Y17</f>
        <v>0</v>
      </c>
      <c r="Z37" s="4">
        <f>SUM(B37:Y37)</f>
        <v>0</v>
      </c>
    </row>
    <row r="38" spans="1:26" ht="16.5">
      <c r="A38" s="1" t="s">
        <v>151</v>
      </c>
      <c r="B38" s="4">
        <f>Costs!B42</f>
        <v>71778.715800000005</v>
      </c>
      <c r="C38" s="4">
        <f>Costs!C42</f>
        <v>71778.715800000005</v>
      </c>
      <c r="D38" s="4">
        <f>Costs!D42</f>
        <v>71778.715800000005</v>
      </c>
      <c r="E38" s="4">
        <f>Costs!E42</f>
        <v>80778.715800000005</v>
      </c>
      <c r="F38" s="4">
        <f>Costs!F42</f>
        <v>80778.715800000005</v>
      </c>
      <c r="G38" s="4">
        <f>Costs!G42</f>
        <v>110778.71580000001</v>
      </c>
      <c r="H38" s="4">
        <f>Costs!H42</f>
        <v>105704.9544</v>
      </c>
      <c r="I38" s="4">
        <f>Costs!I42</f>
        <v>105704.9544</v>
      </c>
      <c r="J38" s="4">
        <f>Costs!J42</f>
        <v>105704.9544</v>
      </c>
      <c r="K38" s="4">
        <f>Costs!K42</f>
        <v>105704.9544</v>
      </c>
      <c r="L38" s="4">
        <f>Costs!L42</f>
        <v>105704.9544</v>
      </c>
      <c r="M38" s="4">
        <f>Costs!M42</f>
        <v>145704.95439999999</v>
      </c>
      <c r="N38" s="4">
        <f>Costs!N42</f>
        <v>113704.9544</v>
      </c>
      <c r="O38" s="4">
        <f>Costs!O42</f>
        <v>113704.9544</v>
      </c>
      <c r="P38" s="4">
        <f>Costs!P42</f>
        <v>113704.9544</v>
      </c>
      <c r="Q38" s="4">
        <f>Costs!Q42</f>
        <v>113704.9544</v>
      </c>
      <c r="R38" s="4">
        <f>Costs!R42</f>
        <v>113704.9544</v>
      </c>
      <c r="S38" s="4">
        <f>Costs!S42</f>
        <v>153704.95439999999</v>
      </c>
      <c r="T38" s="4">
        <f>Costs!T42</f>
        <v>113704.9544</v>
      </c>
      <c r="U38" s="4">
        <f>Costs!U42</f>
        <v>113704.9544</v>
      </c>
      <c r="V38" s="4">
        <f>Costs!V42</f>
        <v>113704.9544</v>
      </c>
      <c r="W38" s="4">
        <f>Costs!W42</f>
        <v>113704.9544</v>
      </c>
      <c r="X38" s="4">
        <f>Costs!X42</f>
        <v>113704.9544</v>
      </c>
      <c r="Y38" s="4">
        <f>Costs!Y42</f>
        <v>153704.95439999999</v>
      </c>
      <c r="Z38" s="4">
        <f>SUM(B38:Y38)</f>
        <v>2606361.4740000004</v>
      </c>
    </row>
    <row r="39" spans="1:26" ht="16.5">
      <c r="A39" s="1" t="s">
        <v>152</v>
      </c>
      <c r="B39" s="4">
        <f>Costs!B36</f>
        <v>0</v>
      </c>
      <c r="C39" s="4">
        <f>Costs!C36</f>
        <v>0</v>
      </c>
      <c r="D39" s="4">
        <f>Costs!D36</f>
        <v>0</v>
      </c>
      <c r="E39" s="4">
        <f>Costs!E36</f>
        <v>0</v>
      </c>
      <c r="F39" s="4">
        <f>Costs!F36</f>
        <v>0</v>
      </c>
      <c r="G39" s="4">
        <f>Costs!G36</f>
        <v>0</v>
      </c>
      <c r="H39" s="4">
        <f>Costs!H36</f>
        <v>0</v>
      </c>
      <c r="I39" s="4">
        <f>Costs!I36</f>
        <v>0</v>
      </c>
      <c r="J39" s="4">
        <f>Costs!J36</f>
        <v>0</v>
      </c>
      <c r="K39" s="4">
        <f>Costs!K36</f>
        <v>0</v>
      </c>
      <c r="L39" s="4">
        <f>Costs!L36</f>
        <v>0</v>
      </c>
      <c r="M39" s="4">
        <f>Costs!M36</f>
        <v>0</v>
      </c>
      <c r="N39" s="4">
        <f>Costs!N36</f>
        <v>0</v>
      </c>
      <c r="O39" s="4">
        <f>Costs!O36</f>
        <v>0</v>
      </c>
      <c r="P39" s="4">
        <f>Costs!P36</f>
        <v>0</v>
      </c>
      <c r="Q39" s="4">
        <f>Costs!Q36</f>
        <v>0</v>
      </c>
      <c r="R39" s="4">
        <f>Costs!R36</f>
        <v>0</v>
      </c>
      <c r="S39" s="4">
        <f>Costs!S36</f>
        <v>0</v>
      </c>
      <c r="T39" s="4">
        <f>Costs!T36</f>
        <v>338583.50696000003</v>
      </c>
      <c r="U39" s="4">
        <f>Costs!U36</f>
        <v>338583.50696000003</v>
      </c>
      <c r="V39" s="4">
        <f>Costs!V36</f>
        <v>338583.50696000003</v>
      </c>
      <c r="W39" s="4">
        <f>Costs!W36</f>
        <v>676760.67903999996</v>
      </c>
      <c r="X39" s="4">
        <f>Costs!X36</f>
        <v>676760.67903999996</v>
      </c>
      <c r="Y39" s="4">
        <f>Costs!Y36</f>
        <v>676760.67903999996</v>
      </c>
      <c r="Z39" s="4">
        <f>SUM(B39:Y39)</f>
        <v>3046032.5579999997</v>
      </c>
    </row>
    <row r="40" spans="1:26" ht="16.5">
      <c r="A40" s="1" t="s">
        <v>153</v>
      </c>
      <c r="B40" s="4">
        <f>IF(1=Assumptions!$B$10,Assumptions!$B$8,0)</f>
        <v>0</v>
      </c>
      <c r="C40" s="4">
        <f>IF(2=Assumptions!$B$10,Assumptions!$B$8,0)</f>
        <v>0</v>
      </c>
      <c r="D40" s="4">
        <f>IF(3=Assumptions!$B$10,Assumptions!$B$8,0)</f>
        <v>0</v>
      </c>
      <c r="E40" s="4">
        <f>IF(4=Assumptions!$B$10,Assumptions!$B$8,0)</f>
        <v>0</v>
      </c>
      <c r="F40" s="4">
        <f>IF(5=Assumptions!$B$10,Assumptions!$B$8,0)</f>
        <v>0</v>
      </c>
      <c r="G40" s="4">
        <f>IF(6=Assumptions!$B$10,Assumptions!$B$8,0)</f>
        <v>0</v>
      </c>
      <c r="H40" s="4">
        <f>IF(7=Assumptions!$B$10,Assumptions!$B$8,0)</f>
        <v>0</v>
      </c>
      <c r="I40" s="4">
        <f>IF(8=Assumptions!$B$10,Assumptions!$B$8,0)</f>
        <v>0</v>
      </c>
      <c r="J40" s="4">
        <f>IF(9=Assumptions!$B$10,Assumptions!$B$8,0)</f>
        <v>0</v>
      </c>
      <c r="K40" s="4">
        <f>IF(10=Assumptions!$B$10,Assumptions!$B$8,0)</f>
        <v>0</v>
      </c>
      <c r="L40" s="4">
        <f>IF(11=Assumptions!$B$10,Assumptions!$B$8,0)</f>
        <v>0</v>
      </c>
      <c r="M40" s="4">
        <f>IF(12=Assumptions!$B$10,Assumptions!$B$8,0)</f>
        <v>0</v>
      </c>
      <c r="N40" s="4">
        <f>IF(13=Assumptions!$B$10,Assumptions!$B$8,0)</f>
        <v>0</v>
      </c>
      <c r="O40" s="4">
        <f>IF(14=Assumptions!$B$10,Assumptions!$B$8,0)</f>
        <v>0</v>
      </c>
      <c r="P40" s="4">
        <f>IF(15=Assumptions!$B$10,Assumptions!$B$8,0)</f>
        <v>0</v>
      </c>
      <c r="Q40" s="4">
        <f>IF(16=Assumptions!$B$10,Assumptions!$B$8,0)</f>
        <v>0</v>
      </c>
      <c r="R40" s="4">
        <f>IF(17=Assumptions!$B$10,Assumptions!$B$8,0)</f>
        <v>0</v>
      </c>
      <c r="S40" s="4">
        <f>IF(18=Assumptions!$B$10,Assumptions!$B$8,0)</f>
        <v>0</v>
      </c>
      <c r="T40" s="4">
        <f>IF(19=Assumptions!$B$10,Assumptions!$B$8,0)</f>
        <v>0</v>
      </c>
      <c r="U40" s="4">
        <f>IF(20=Assumptions!$B$10,Assumptions!$B$8,0)</f>
        <v>0</v>
      </c>
      <c r="V40" s="4">
        <f>IF(21=Assumptions!$B$10,Assumptions!$B$8,0)</f>
        <v>0</v>
      </c>
      <c r="W40" s="4">
        <f>IF(22=Assumptions!$B$10,Assumptions!$B$8,0)</f>
        <v>0</v>
      </c>
      <c r="X40" s="4">
        <f>IF(23=Assumptions!$B$10,Assumptions!$B$8,0)</f>
        <v>0</v>
      </c>
      <c r="Y40" s="4">
        <f>IF(24=Assumptions!$B$10,Assumptions!$B$8,0)</f>
        <v>0</v>
      </c>
      <c r="Z40" s="4">
        <f>SUM(B40:Y40)</f>
        <v>0</v>
      </c>
    </row>
    <row r="41" spans="1:26" ht="16.5">
      <c r="A41" s="1" t="s">
        <v>154</v>
      </c>
      <c r="B41" s="4">
        <f>0</f>
        <v>0</v>
      </c>
      <c r="C41" s="4">
        <f t="shared" ref="C41:Y41" si="15">B43</f>
        <v>0</v>
      </c>
      <c r="D41" s="4">
        <f t="shared" si="15"/>
        <v>0</v>
      </c>
      <c r="E41" s="4">
        <f t="shared" si="15"/>
        <v>0</v>
      </c>
      <c r="F41" s="4">
        <f t="shared" si="15"/>
        <v>0</v>
      </c>
      <c r="G41" s="4">
        <f t="shared" si="15"/>
        <v>0</v>
      </c>
      <c r="H41" s="4">
        <f t="shared" si="15"/>
        <v>0</v>
      </c>
      <c r="I41" s="4">
        <f t="shared" si="15"/>
        <v>0</v>
      </c>
      <c r="J41" s="4">
        <f t="shared" si="15"/>
        <v>0</v>
      </c>
      <c r="K41" s="4">
        <f t="shared" si="15"/>
        <v>0</v>
      </c>
      <c r="L41" s="4">
        <f t="shared" si="15"/>
        <v>0</v>
      </c>
      <c r="M41" s="4">
        <f t="shared" si="15"/>
        <v>0</v>
      </c>
      <c r="N41" s="4">
        <f t="shared" si="15"/>
        <v>0</v>
      </c>
      <c r="O41" s="4">
        <f t="shared" si="15"/>
        <v>0</v>
      </c>
      <c r="P41" s="4">
        <f t="shared" si="15"/>
        <v>0</v>
      </c>
      <c r="Q41" s="4">
        <f t="shared" si="15"/>
        <v>0</v>
      </c>
      <c r="R41" s="4">
        <f t="shared" si="15"/>
        <v>0</v>
      </c>
      <c r="S41" s="4">
        <f t="shared" si="15"/>
        <v>0</v>
      </c>
      <c r="T41" s="4">
        <f t="shared" si="15"/>
        <v>0</v>
      </c>
      <c r="U41" s="4">
        <f t="shared" si="15"/>
        <v>0</v>
      </c>
      <c r="V41" s="4">
        <f t="shared" si="15"/>
        <v>0</v>
      </c>
      <c r="W41" s="4">
        <f t="shared" si="15"/>
        <v>0</v>
      </c>
      <c r="X41" s="4">
        <f t="shared" si="15"/>
        <v>0</v>
      </c>
      <c r="Y41" s="4">
        <f t="shared" si="15"/>
        <v>0</v>
      </c>
      <c r="Z41" s="4">
        <f>Y41</f>
        <v>0</v>
      </c>
    </row>
    <row r="42" spans="1:26" ht="16.5">
      <c r="A42" s="1" t="s">
        <v>155</v>
      </c>
      <c r="B42" s="4">
        <f t="shared" ref="B42:Y42" si="16">MIN(B41+B40,B39)</f>
        <v>0</v>
      </c>
      <c r="C42" s="4">
        <f t="shared" si="16"/>
        <v>0</v>
      </c>
      <c r="D42" s="4">
        <f t="shared" si="16"/>
        <v>0</v>
      </c>
      <c r="E42" s="4">
        <f t="shared" si="16"/>
        <v>0</v>
      </c>
      <c r="F42" s="4">
        <f t="shared" si="16"/>
        <v>0</v>
      </c>
      <c r="G42" s="4">
        <f t="shared" si="16"/>
        <v>0</v>
      </c>
      <c r="H42" s="4">
        <f t="shared" si="16"/>
        <v>0</v>
      </c>
      <c r="I42" s="4">
        <f t="shared" si="16"/>
        <v>0</v>
      </c>
      <c r="J42" s="4">
        <f t="shared" si="16"/>
        <v>0</v>
      </c>
      <c r="K42" s="4">
        <f t="shared" si="16"/>
        <v>0</v>
      </c>
      <c r="L42" s="4">
        <f t="shared" si="16"/>
        <v>0</v>
      </c>
      <c r="M42" s="4">
        <f t="shared" si="16"/>
        <v>0</v>
      </c>
      <c r="N42" s="4">
        <f t="shared" si="16"/>
        <v>0</v>
      </c>
      <c r="O42" s="4">
        <f t="shared" si="16"/>
        <v>0</v>
      </c>
      <c r="P42" s="4">
        <f t="shared" si="16"/>
        <v>0</v>
      </c>
      <c r="Q42" s="4">
        <f t="shared" si="16"/>
        <v>0</v>
      </c>
      <c r="R42" s="4">
        <f t="shared" si="16"/>
        <v>0</v>
      </c>
      <c r="S42" s="4">
        <f t="shared" si="16"/>
        <v>0</v>
      </c>
      <c r="T42" s="4">
        <f t="shared" si="16"/>
        <v>0</v>
      </c>
      <c r="U42" s="4">
        <f t="shared" si="16"/>
        <v>0</v>
      </c>
      <c r="V42" s="4">
        <f t="shared" si="16"/>
        <v>0</v>
      </c>
      <c r="W42" s="4">
        <f t="shared" si="16"/>
        <v>0</v>
      </c>
      <c r="X42" s="4">
        <f t="shared" si="16"/>
        <v>0</v>
      </c>
      <c r="Y42" s="4">
        <f t="shared" si="16"/>
        <v>0</v>
      </c>
      <c r="Z42" s="4">
        <f>SUM(B42:Y42)</f>
        <v>0</v>
      </c>
    </row>
    <row r="43" spans="1:26" ht="16.5">
      <c r="A43" s="1" t="s">
        <v>156</v>
      </c>
      <c r="B43" s="4">
        <f t="shared" ref="B43:Y43" si="17">B41+B40-B42</f>
        <v>0</v>
      </c>
      <c r="C43" s="4">
        <f t="shared" si="17"/>
        <v>0</v>
      </c>
      <c r="D43" s="4">
        <f t="shared" si="17"/>
        <v>0</v>
      </c>
      <c r="E43" s="4">
        <f t="shared" si="17"/>
        <v>0</v>
      </c>
      <c r="F43" s="4">
        <f t="shared" si="17"/>
        <v>0</v>
      </c>
      <c r="G43" s="4">
        <f t="shared" si="17"/>
        <v>0</v>
      </c>
      <c r="H43" s="4">
        <f t="shared" si="17"/>
        <v>0</v>
      </c>
      <c r="I43" s="4">
        <f t="shared" si="17"/>
        <v>0</v>
      </c>
      <c r="J43" s="4">
        <f t="shared" si="17"/>
        <v>0</v>
      </c>
      <c r="K43" s="4">
        <f t="shared" si="17"/>
        <v>0</v>
      </c>
      <c r="L43" s="4">
        <f t="shared" si="17"/>
        <v>0</v>
      </c>
      <c r="M43" s="4">
        <f t="shared" si="17"/>
        <v>0</v>
      </c>
      <c r="N43" s="4">
        <f t="shared" si="17"/>
        <v>0</v>
      </c>
      <c r="O43" s="4">
        <f t="shared" si="17"/>
        <v>0</v>
      </c>
      <c r="P43" s="4">
        <f t="shared" si="17"/>
        <v>0</v>
      </c>
      <c r="Q43" s="4">
        <f t="shared" si="17"/>
        <v>0</v>
      </c>
      <c r="R43" s="4">
        <f t="shared" si="17"/>
        <v>0</v>
      </c>
      <c r="S43" s="4">
        <f t="shared" si="17"/>
        <v>0</v>
      </c>
      <c r="T43" s="4">
        <f t="shared" si="17"/>
        <v>0</v>
      </c>
      <c r="U43" s="4">
        <f t="shared" si="17"/>
        <v>0</v>
      </c>
      <c r="V43" s="4">
        <f t="shared" si="17"/>
        <v>0</v>
      </c>
      <c r="W43" s="4">
        <f t="shared" si="17"/>
        <v>0</v>
      </c>
      <c r="X43" s="4">
        <f t="shared" si="17"/>
        <v>0</v>
      </c>
      <c r="Y43" s="4">
        <f t="shared" si="17"/>
        <v>0</v>
      </c>
      <c r="Z43" s="4">
        <f>Y43</f>
        <v>0</v>
      </c>
    </row>
    <row r="44" spans="1:26" ht="16.5">
      <c r="A44" s="1" t="s">
        <v>157</v>
      </c>
      <c r="B44" s="4">
        <f t="shared" ref="B44:Y44" si="18">B39-B42+B40</f>
        <v>0</v>
      </c>
      <c r="C44" s="4">
        <f t="shared" si="18"/>
        <v>0</v>
      </c>
      <c r="D44" s="4">
        <f t="shared" si="18"/>
        <v>0</v>
      </c>
      <c r="E44" s="4">
        <f t="shared" si="18"/>
        <v>0</v>
      </c>
      <c r="F44" s="4">
        <f t="shared" si="18"/>
        <v>0</v>
      </c>
      <c r="G44" s="4">
        <f t="shared" si="18"/>
        <v>0</v>
      </c>
      <c r="H44" s="4">
        <f t="shared" si="18"/>
        <v>0</v>
      </c>
      <c r="I44" s="4">
        <f t="shared" si="18"/>
        <v>0</v>
      </c>
      <c r="J44" s="4">
        <f t="shared" si="18"/>
        <v>0</v>
      </c>
      <c r="K44" s="4">
        <f t="shared" si="18"/>
        <v>0</v>
      </c>
      <c r="L44" s="4">
        <f t="shared" si="18"/>
        <v>0</v>
      </c>
      <c r="M44" s="4">
        <f t="shared" si="18"/>
        <v>0</v>
      </c>
      <c r="N44" s="4">
        <f t="shared" si="18"/>
        <v>0</v>
      </c>
      <c r="O44" s="4">
        <f t="shared" si="18"/>
        <v>0</v>
      </c>
      <c r="P44" s="4">
        <f t="shared" si="18"/>
        <v>0</v>
      </c>
      <c r="Q44" s="4">
        <f t="shared" si="18"/>
        <v>0</v>
      </c>
      <c r="R44" s="4">
        <f t="shared" si="18"/>
        <v>0</v>
      </c>
      <c r="S44" s="4">
        <f t="shared" si="18"/>
        <v>0</v>
      </c>
      <c r="T44" s="4">
        <f t="shared" si="18"/>
        <v>338583.50696000003</v>
      </c>
      <c r="U44" s="4">
        <f t="shared" si="18"/>
        <v>338583.50696000003</v>
      </c>
      <c r="V44" s="4">
        <f t="shared" si="18"/>
        <v>338583.50696000003</v>
      </c>
      <c r="W44" s="4">
        <f t="shared" si="18"/>
        <v>676760.67903999996</v>
      </c>
      <c r="X44" s="4">
        <f t="shared" si="18"/>
        <v>676760.67903999996</v>
      </c>
      <c r="Y44" s="4">
        <f t="shared" si="18"/>
        <v>676760.67903999996</v>
      </c>
      <c r="Z44" s="4">
        <f t="shared" ref="Z44:Z49" si="19">SUM(B44:Y44)</f>
        <v>3046032.5579999997</v>
      </c>
    </row>
    <row r="45" spans="1:26" ht="16.5">
      <c r="A45" s="1" t="s">
        <v>158</v>
      </c>
      <c r="B45" s="4">
        <f>Costs!B37</f>
        <v>0</v>
      </c>
      <c r="C45" s="4">
        <f>Costs!C37</f>
        <v>0</v>
      </c>
      <c r="D45" s="4">
        <f>Costs!D37</f>
        <v>0</v>
      </c>
      <c r="E45" s="4">
        <f>Costs!E37</f>
        <v>0</v>
      </c>
      <c r="F45" s="4">
        <f>Costs!F37</f>
        <v>0</v>
      </c>
      <c r="G45" s="4">
        <f>Costs!G37</f>
        <v>0</v>
      </c>
      <c r="H45" s="4">
        <f>Costs!H37</f>
        <v>0</v>
      </c>
      <c r="I45" s="4">
        <f>Costs!I37</f>
        <v>0</v>
      </c>
      <c r="J45" s="4">
        <f>Costs!J37</f>
        <v>0</v>
      </c>
      <c r="K45" s="4">
        <f>Costs!K37</f>
        <v>0</v>
      </c>
      <c r="L45" s="4">
        <f>Costs!L37</f>
        <v>0</v>
      </c>
      <c r="M45" s="4">
        <f>Costs!M37</f>
        <v>0</v>
      </c>
      <c r="N45" s="4">
        <f>Costs!N37</f>
        <v>0</v>
      </c>
      <c r="O45" s="4">
        <f>Costs!O37</f>
        <v>0</v>
      </c>
      <c r="P45" s="4">
        <f>Costs!P37</f>
        <v>0</v>
      </c>
      <c r="Q45" s="4">
        <f>Costs!Q37</f>
        <v>0</v>
      </c>
      <c r="R45" s="4">
        <f>Costs!R37</f>
        <v>0</v>
      </c>
      <c r="S45" s="4">
        <f>Costs!S37</f>
        <v>0</v>
      </c>
      <c r="T45" s="4">
        <f>Costs!T37</f>
        <v>0</v>
      </c>
      <c r="U45" s="4">
        <f>Costs!U37</f>
        <v>0</v>
      </c>
      <c r="V45" s="4">
        <f>Costs!V37</f>
        <v>0</v>
      </c>
      <c r="W45" s="4">
        <f>Costs!W37</f>
        <v>0</v>
      </c>
      <c r="X45" s="4">
        <f>Costs!X37</f>
        <v>0</v>
      </c>
      <c r="Y45" s="4">
        <f>Costs!Y37</f>
        <v>0</v>
      </c>
      <c r="Z45" s="4">
        <f t="shared" si="19"/>
        <v>0</v>
      </c>
    </row>
    <row r="46" spans="1:26" ht="16.5">
      <c r="A46" s="1" t="s">
        <v>159</v>
      </c>
      <c r="B46" s="4">
        <f>IF(1=Assumptions!$B$10,Assumptions!$B$9,0)</f>
        <v>0</v>
      </c>
      <c r="C46" s="4">
        <f>IF(2=Assumptions!$B$10,Assumptions!$B$9,0)</f>
        <v>0</v>
      </c>
      <c r="D46" s="4">
        <f>IF(3=Assumptions!$B$10,Assumptions!$B$9,0)</f>
        <v>0</v>
      </c>
      <c r="E46" s="4">
        <f>IF(4=Assumptions!$B$10,Assumptions!$B$9,0)</f>
        <v>0</v>
      </c>
      <c r="F46" s="4">
        <f>IF(5=Assumptions!$B$10,Assumptions!$B$9,0)</f>
        <v>0</v>
      </c>
      <c r="G46" s="4">
        <f>IF(6=Assumptions!$B$10,Assumptions!$B$9,0)</f>
        <v>0</v>
      </c>
      <c r="H46" s="4">
        <f>IF(7=Assumptions!$B$10,Assumptions!$B$9,0)</f>
        <v>0</v>
      </c>
      <c r="I46" s="4">
        <f>IF(8=Assumptions!$B$10,Assumptions!$B$9,0)</f>
        <v>0</v>
      </c>
      <c r="J46" s="4">
        <f>IF(9=Assumptions!$B$10,Assumptions!$B$9,0)</f>
        <v>0</v>
      </c>
      <c r="K46" s="4">
        <f>IF(10=Assumptions!$B$10,Assumptions!$B$9,0)</f>
        <v>0</v>
      </c>
      <c r="L46" s="4">
        <f>IF(11=Assumptions!$B$10,Assumptions!$B$9,0)</f>
        <v>0</v>
      </c>
      <c r="M46" s="4">
        <f>IF(12=Assumptions!$B$10,Assumptions!$B$9,0)</f>
        <v>0</v>
      </c>
      <c r="N46" s="4">
        <f>IF(13=Assumptions!$B$10,Assumptions!$B$9,0)</f>
        <v>0</v>
      </c>
      <c r="O46" s="4">
        <f>IF(14=Assumptions!$B$10,Assumptions!$B$9,0)</f>
        <v>0</v>
      </c>
      <c r="P46" s="4">
        <f>IF(15=Assumptions!$B$10,Assumptions!$B$9,0)</f>
        <v>0</v>
      </c>
      <c r="Q46" s="4">
        <f>IF(16=Assumptions!$B$10,Assumptions!$B$9,0)</f>
        <v>0</v>
      </c>
      <c r="R46" s="4">
        <f>IF(17=Assumptions!$B$10,Assumptions!$B$9,0)</f>
        <v>0</v>
      </c>
      <c r="S46" s="4">
        <f>IF(18=Assumptions!$B$10,Assumptions!$B$9,0)</f>
        <v>0</v>
      </c>
      <c r="T46" s="4">
        <f>IF(19=Assumptions!$B$10,Assumptions!$B$9,0)</f>
        <v>0</v>
      </c>
      <c r="U46" s="4">
        <f>IF(20=Assumptions!$B$10,Assumptions!$B$9,0)</f>
        <v>0</v>
      </c>
      <c r="V46" s="4">
        <f>IF(21=Assumptions!$B$10,Assumptions!$B$9,0)</f>
        <v>0</v>
      </c>
      <c r="W46" s="4">
        <f>IF(22=Assumptions!$B$10,Assumptions!$B$9,0)</f>
        <v>0</v>
      </c>
      <c r="X46" s="4">
        <f>IF(23=Assumptions!$B$10,Assumptions!$B$9,0)</f>
        <v>0</v>
      </c>
      <c r="Y46" s="4">
        <f>IF(24=Assumptions!$B$10,Assumptions!$B$9,0)</f>
        <v>0</v>
      </c>
      <c r="Z46" s="4">
        <f t="shared" si="19"/>
        <v>0</v>
      </c>
    </row>
    <row r="47" spans="1:26" ht="16.5">
      <c r="A47" s="1" t="s">
        <v>125</v>
      </c>
      <c r="B47" s="4">
        <f>Costs!B39</f>
        <v>50000</v>
      </c>
      <c r="C47" s="4">
        <f>Costs!C39</f>
        <v>0</v>
      </c>
      <c r="D47" s="4">
        <f>Costs!D39</f>
        <v>0</v>
      </c>
      <c r="E47" s="4">
        <f>Costs!E39</f>
        <v>0</v>
      </c>
      <c r="F47" s="4">
        <f>Costs!F39</f>
        <v>0</v>
      </c>
      <c r="G47" s="4">
        <f>Costs!G39</f>
        <v>0</v>
      </c>
      <c r="H47" s="4">
        <f>Costs!H39</f>
        <v>30000</v>
      </c>
      <c r="I47" s="4">
        <f>Costs!I39</f>
        <v>0</v>
      </c>
      <c r="J47" s="4">
        <f>Costs!J39</f>
        <v>0</v>
      </c>
      <c r="K47" s="4">
        <f>Costs!K39</f>
        <v>0</v>
      </c>
      <c r="L47" s="4">
        <f>Costs!L39</f>
        <v>0</v>
      </c>
      <c r="M47" s="4">
        <f>Costs!M39</f>
        <v>0</v>
      </c>
      <c r="N47" s="4">
        <f>Costs!N39</f>
        <v>0</v>
      </c>
      <c r="O47" s="4">
        <f>Costs!O39</f>
        <v>0</v>
      </c>
      <c r="P47" s="4">
        <f>Costs!P39</f>
        <v>0</v>
      </c>
      <c r="Q47" s="4">
        <f>Costs!Q39</f>
        <v>0</v>
      </c>
      <c r="R47" s="4">
        <f>Costs!R39</f>
        <v>0</v>
      </c>
      <c r="S47" s="4">
        <f>Costs!S39</f>
        <v>0</v>
      </c>
      <c r="T47" s="4">
        <f>Costs!T39</f>
        <v>0</v>
      </c>
      <c r="U47" s="4">
        <f>Costs!U39</f>
        <v>0</v>
      </c>
      <c r="V47" s="4">
        <f>Costs!V39</f>
        <v>0</v>
      </c>
      <c r="W47" s="4">
        <f>Costs!W39</f>
        <v>0</v>
      </c>
      <c r="X47" s="4">
        <f>Costs!X39</f>
        <v>0</v>
      </c>
      <c r="Y47" s="4">
        <f>Costs!Y39</f>
        <v>0</v>
      </c>
      <c r="Z47" s="4">
        <f t="shared" si="19"/>
        <v>80000</v>
      </c>
    </row>
    <row r="48" spans="1:26" ht="16.5">
      <c r="A48" s="1" t="s">
        <v>160</v>
      </c>
      <c r="B48" s="4">
        <f t="shared" ref="B48:Y48" si="20">B38+B44+B45+B46+B47</f>
        <v>121778.71580000001</v>
      </c>
      <c r="C48" s="4">
        <f t="shared" si="20"/>
        <v>71778.715800000005</v>
      </c>
      <c r="D48" s="4">
        <f t="shared" si="20"/>
        <v>71778.715800000005</v>
      </c>
      <c r="E48" s="4">
        <f t="shared" si="20"/>
        <v>80778.715800000005</v>
      </c>
      <c r="F48" s="4">
        <f t="shared" si="20"/>
        <v>80778.715800000005</v>
      </c>
      <c r="G48" s="4">
        <f t="shared" si="20"/>
        <v>110778.71580000001</v>
      </c>
      <c r="H48" s="4">
        <f t="shared" si="20"/>
        <v>135704.95439999999</v>
      </c>
      <c r="I48" s="4">
        <f t="shared" si="20"/>
        <v>105704.9544</v>
      </c>
      <c r="J48" s="4">
        <f t="shared" si="20"/>
        <v>105704.9544</v>
      </c>
      <c r="K48" s="4">
        <f t="shared" si="20"/>
        <v>105704.9544</v>
      </c>
      <c r="L48" s="4">
        <f t="shared" si="20"/>
        <v>105704.9544</v>
      </c>
      <c r="M48" s="4">
        <f t="shared" si="20"/>
        <v>145704.95439999999</v>
      </c>
      <c r="N48" s="4">
        <f t="shared" si="20"/>
        <v>113704.9544</v>
      </c>
      <c r="O48" s="4">
        <f t="shared" si="20"/>
        <v>113704.9544</v>
      </c>
      <c r="P48" s="4">
        <f t="shared" si="20"/>
        <v>113704.9544</v>
      </c>
      <c r="Q48" s="4">
        <f t="shared" si="20"/>
        <v>113704.9544</v>
      </c>
      <c r="R48" s="4">
        <f t="shared" si="20"/>
        <v>113704.9544</v>
      </c>
      <c r="S48" s="4">
        <f t="shared" si="20"/>
        <v>153704.95439999999</v>
      </c>
      <c r="T48" s="4">
        <f t="shared" si="20"/>
        <v>452288.46136000002</v>
      </c>
      <c r="U48" s="4">
        <f t="shared" si="20"/>
        <v>452288.46136000002</v>
      </c>
      <c r="V48" s="4">
        <f t="shared" si="20"/>
        <v>452288.46136000002</v>
      </c>
      <c r="W48" s="4">
        <f t="shared" si="20"/>
        <v>790465.63344000001</v>
      </c>
      <c r="X48" s="4">
        <f t="shared" si="20"/>
        <v>790465.63344000001</v>
      </c>
      <c r="Y48" s="4">
        <f t="shared" si="20"/>
        <v>830465.63344000001</v>
      </c>
      <c r="Z48" s="4">
        <f t="shared" si="19"/>
        <v>5732394.0319999997</v>
      </c>
    </row>
    <row r="49" spans="1:26" ht="16.5">
      <c r="A49" s="1" t="s">
        <v>161</v>
      </c>
      <c r="B49" s="4">
        <f t="shared" ref="B49:Y49" si="21">B37-B48</f>
        <v>-121778.71580000001</v>
      </c>
      <c r="C49" s="4">
        <f t="shared" si="21"/>
        <v>-71778.715800000005</v>
      </c>
      <c r="D49" s="4">
        <f t="shared" si="21"/>
        <v>-71778.715800000005</v>
      </c>
      <c r="E49" s="4">
        <f t="shared" si="21"/>
        <v>-80778.715800000005</v>
      </c>
      <c r="F49" s="4">
        <f t="shared" si="21"/>
        <v>-80778.715800000005</v>
      </c>
      <c r="G49" s="4">
        <f t="shared" si="21"/>
        <v>-110778.71580000001</v>
      </c>
      <c r="H49" s="4">
        <f t="shared" si="21"/>
        <v>-135704.95439999999</v>
      </c>
      <c r="I49" s="4">
        <f t="shared" si="21"/>
        <v>-105704.9544</v>
      </c>
      <c r="J49" s="4">
        <f t="shared" si="21"/>
        <v>-105704.9544</v>
      </c>
      <c r="K49" s="4">
        <f t="shared" si="21"/>
        <v>-105704.9544</v>
      </c>
      <c r="L49" s="4">
        <f t="shared" si="21"/>
        <v>-105704.9544</v>
      </c>
      <c r="M49" s="4">
        <f t="shared" si="21"/>
        <v>-145704.95439999999</v>
      </c>
      <c r="N49" s="4">
        <f t="shared" si="21"/>
        <v>-113704.9544</v>
      </c>
      <c r="O49" s="4">
        <f t="shared" si="21"/>
        <v>-113704.9544</v>
      </c>
      <c r="P49" s="4">
        <f t="shared" si="21"/>
        <v>-113704.9544</v>
      </c>
      <c r="Q49" s="4">
        <f t="shared" si="21"/>
        <v>-113704.9544</v>
      </c>
      <c r="R49" s="4">
        <f t="shared" si="21"/>
        <v>-113704.9544</v>
      </c>
      <c r="S49" s="4">
        <f t="shared" si="21"/>
        <v>-153704.95439999999</v>
      </c>
      <c r="T49" s="4">
        <f t="shared" si="21"/>
        <v>-452288.46136000002</v>
      </c>
      <c r="U49" s="4">
        <f t="shared" si="21"/>
        <v>-452288.46136000002</v>
      </c>
      <c r="V49" s="4">
        <f t="shared" si="21"/>
        <v>-452288.46136000002</v>
      </c>
      <c r="W49" s="4">
        <f t="shared" si="21"/>
        <v>-790465.63344000001</v>
      </c>
      <c r="X49" s="4">
        <f t="shared" si="21"/>
        <v>-790465.63344000001</v>
      </c>
      <c r="Y49" s="4">
        <f t="shared" si="21"/>
        <v>-830465.63344000001</v>
      </c>
      <c r="Z49" s="4">
        <f t="shared" si="19"/>
        <v>-5732394.0319999997</v>
      </c>
    </row>
    <row r="50" spans="1:26" ht="16.5">
      <c r="A50" s="1" t="s">
        <v>162</v>
      </c>
      <c r="B50" s="4">
        <f t="shared" ref="B50:Y50" si="22">B36+B49</f>
        <v>-121778.71580000001</v>
      </c>
      <c r="C50" s="4">
        <f t="shared" si="22"/>
        <v>-193557.43160000001</v>
      </c>
      <c r="D50" s="4">
        <f t="shared" si="22"/>
        <v>-265336.14740000002</v>
      </c>
      <c r="E50" s="4">
        <f t="shared" si="22"/>
        <v>-346114.86320000002</v>
      </c>
      <c r="F50" s="4">
        <f t="shared" si="22"/>
        <v>-426893.57900000003</v>
      </c>
      <c r="G50" s="4">
        <f t="shared" si="22"/>
        <v>-537672.29480000003</v>
      </c>
      <c r="H50" s="4">
        <f t="shared" si="22"/>
        <v>-673377.24919999996</v>
      </c>
      <c r="I50" s="4">
        <f t="shared" si="22"/>
        <v>-779082.20360000001</v>
      </c>
      <c r="J50" s="4">
        <f t="shared" si="22"/>
        <v>-884787.15800000005</v>
      </c>
      <c r="K50" s="4">
        <f t="shared" si="22"/>
        <v>-990492.1124000001</v>
      </c>
      <c r="L50" s="4">
        <f t="shared" si="22"/>
        <v>-1096197.0668000001</v>
      </c>
      <c r="M50" s="4">
        <f t="shared" si="22"/>
        <v>-1241902.0212000001</v>
      </c>
      <c r="N50" s="4">
        <f t="shared" si="22"/>
        <v>-1355606.9756</v>
      </c>
      <c r="O50" s="4">
        <f t="shared" si="22"/>
        <v>-1469311.93</v>
      </c>
      <c r="P50" s="4">
        <f t="shared" si="22"/>
        <v>-1583016.8843999999</v>
      </c>
      <c r="Q50" s="4">
        <f t="shared" si="22"/>
        <v>-1696721.8387999998</v>
      </c>
      <c r="R50" s="4">
        <f t="shared" si="22"/>
        <v>-1810426.7931999997</v>
      </c>
      <c r="S50" s="4">
        <f t="shared" si="22"/>
        <v>-1964131.7475999997</v>
      </c>
      <c r="T50" s="4">
        <f t="shared" si="22"/>
        <v>-2416420.2089599995</v>
      </c>
      <c r="U50" s="4">
        <f t="shared" si="22"/>
        <v>-2868708.6703199996</v>
      </c>
      <c r="V50" s="4">
        <f t="shared" si="22"/>
        <v>-3320997.1316799996</v>
      </c>
      <c r="W50" s="4">
        <f t="shared" si="22"/>
        <v>-4111462.7651199996</v>
      </c>
      <c r="X50" s="4">
        <f t="shared" si="22"/>
        <v>-4901928.3985599997</v>
      </c>
      <c r="Y50" s="4">
        <f t="shared" si="22"/>
        <v>-5732394.0319999997</v>
      </c>
      <c r="Z50" s="4">
        <f>Y50</f>
        <v>-5732394.0319999997</v>
      </c>
    </row>
    <row r="51" spans="1:26" ht="16.5">
      <c r="A51" s="1" t="s">
        <v>163</v>
      </c>
      <c r="B51" s="4">
        <f>IF(1=1,Summary!C$19,0)</f>
        <v>9000000</v>
      </c>
      <c r="C51" s="4">
        <f>IF(2=1,Summary!C$19,0)</f>
        <v>0</v>
      </c>
      <c r="D51" s="4">
        <f>IF(3=1,Summary!C$19,0)</f>
        <v>0</v>
      </c>
      <c r="E51" s="4">
        <f>IF(4=1,Summary!C$19,0)</f>
        <v>0</v>
      </c>
      <c r="F51" s="4">
        <f>IF(5=1,Summary!C$19,0)</f>
        <v>0</v>
      </c>
      <c r="G51" s="4">
        <f>IF(6=1,Summary!C$19,0)</f>
        <v>0</v>
      </c>
      <c r="H51" s="4">
        <f>IF(7=1,Summary!C$19,0)</f>
        <v>0</v>
      </c>
      <c r="I51" s="4">
        <f>IF(8=1,Summary!C$19,0)</f>
        <v>0</v>
      </c>
      <c r="J51" s="4">
        <f>IF(9=1,Summary!C$19,0)</f>
        <v>0</v>
      </c>
      <c r="K51" s="4">
        <f>IF(10=1,Summary!C$19,0)</f>
        <v>0</v>
      </c>
      <c r="L51" s="4">
        <f>IF(11=1,Summary!C$19,0)</f>
        <v>0</v>
      </c>
      <c r="M51" s="4">
        <f>IF(12=1,Summary!C$19,0)</f>
        <v>0</v>
      </c>
      <c r="N51" s="4">
        <f>IF(13=1,Summary!C$19,0)</f>
        <v>0</v>
      </c>
      <c r="O51" s="4">
        <f>IF(14=1,Summary!C$19,0)</f>
        <v>0</v>
      </c>
      <c r="P51" s="4">
        <f>IF(15=1,Summary!C$19,0)</f>
        <v>0</v>
      </c>
      <c r="Q51" s="4">
        <f>IF(16=1,Summary!C$19,0)</f>
        <v>0</v>
      </c>
      <c r="R51" s="4">
        <f>IF(17=1,Summary!C$19,0)</f>
        <v>0</v>
      </c>
      <c r="S51" s="4">
        <f>IF(18=1,Summary!C$19,0)</f>
        <v>0</v>
      </c>
      <c r="T51" s="4">
        <f>IF(19=1,Summary!C$19,0)</f>
        <v>0</v>
      </c>
      <c r="U51" s="4">
        <f>IF(20=1,Summary!C$19,0)</f>
        <v>0</v>
      </c>
      <c r="V51" s="4">
        <f>IF(21=1,Summary!C$19,0)</f>
        <v>0</v>
      </c>
      <c r="W51" s="4">
        <f>IF(22=1,Summary!C$19,0)</f>
        <v>0</v>
      </c>
      <c r="X51" s="4">
        <f>IF(23=1,Summary!C$19,0)</f>
        <v>0</v>
      </c>
      <c r="Y51" s="4">
        <f>IF(24=1,Summary!C$19,0)</f>
        <v>0</v>
      </c>
      <c r="Z51" s="4">
        <f>SUM(B51:Y51)</f>
        <v>9000000</v>
      </c>
    </row>
    <row r="52" spans="1:26" ht="16.5">
      <c r="A52" s="1" t="s">
        <v>164</v>
      </c>
      <c r="B52" s="4">
        <f>Assumptions!$B$4</f>
        <v>0</v>
      </c>
      <c r="C52" s="4">
        <f t="shared" ref="C52:Y52" si="23">B53</f>
        <v>8878221.2841999996</v>
      </c>
      <c r="D52" s="4">
        <f t="shared" si="23"/>
        <v>8806442.5683999993</v>
      </c>
      <c r="E52" s="4">
        <f t="shared" si="23"/>
        <v>8734663.8525999989</v>
      </c>
      <c r="F52" s="4">
        <f t="shared" si="23"/>
        <v>8653885.1367999986</v>
      </c>
      <c r="G52" s="4">
        <f t="shared" si="23"/>
        <v>8573106.4209999982</v>
      </c>
      <c r="H52" s="4">
        <f t="shared" si="23"/>
        <v>8462327.7051999979</v>
      </c>
      <c r="I52" s="4">
        <f t="shared" si="23"/>
        <v>8326622.7507999977</v>
      </c>
      <c r="J52" s="4">
        <f t="shared" si="23"/>
        <v>8220917.7963999975</v>
      </c>
      <c r="K52" s="4">
        <f t="shared" si="23"/>
        <v>8115212.8419999974</v>
      </c>
      <c r="L52" s="4">
        <f t="shared" si="23"/>
        <v>8009507.8875999972</v>
      </c>
      <c r="M52" s="4">
        <f t="shared" si="23"/>
        <v>7903802.9331999971</v>
      </c>
      <c r="N52" s="4">
        <f t="shared" si="23"/>
        <v>7758097.9787999969</v>
      </c>
      <c r="O52" s="4">
        <f t="shared" si="23"/>
        <v>7644393.0243999967</v>
      </c>
      <c r="P52" s="4">
        <f t="shared" si="23"/>
        <v>7530688.0699999966</v>
      </c>
      <c r="Q52" s="4">
        <f t="shared" si="23"/>
        <v>7416983.1155999964</v>
      </c>
      <c r="R52" s="4">
        <f t="shared" si="23"/>
        <v>7303278.1611999962</v>
      </c>
      <c r="S52" s="4">
        <f t="shared" si="23"/>
        <v>7189573.2067999961</v>
      </c>
      <c r="T52" s="4">
        <f t="shared" si="23"/>
        <v>7035868.2523999959</v>
      </c>
      <c r="U52" s="4">
        <f t="shared" si="23"/>
        <v>6583579.7910399958</v>
      </c>
      <c r="V52" s="4">
        <f t="shared" si="23"/>
        <v>6131291.3296799958</v>
      </c>
      <c r="W52" s="4">
        <f t="shared" si="23"/>
        <v>5679002.8683199957</v>
      </c>
      <c r="X52" s="4">
        <f t="shared" si="23"/>
        <v>4888537.2348799957</v>
      </c>
      <c r="Y52" s="4">
        <f t="shared" si="23"/>
        <v>4098071.6014399957</v>
      </c>
      <c r="Z52" s="4">
        <f t="shared" ref="Z52:Z57" si="24">Y52</f>
        <v>4098071.6014399957</v>
      </c>
    </row>
    <row r="53" spans="1:26" ht="16.5">
      <c r="A53" s="1" t="s">
        <v>165</v>
      </c>
      <c r="B53" s="4">
        <f t="shared" ref="B53:Y53" si="25">B52+B37+B51-B48</f>
        <v>8878221.2841999996</v>
      </c>
      <c r="C53" s="4">
        <f t="shared" si="25"/>
        <v>8806442.5683999993</v>
      </c>
      <c r="D53" s="4">
        <f t="shared" si="25"/>
        <v>8734663.8525999989</v>
      </c>
      <c r="E53" s="4">
        <f t="shared" si="25"/>
        <v>8653885.1367999986</v>
      </c>
      <c r="F53" s="4">
        <f t="shared" si="25"/>
        <v>8573106.4209999982</v>
      </c>
      <c r="G53" s="4">
        <f t="shared" si="25"/>
        <v>8462327.7051999979</v>
      </c>
      <c r="H53" s="4">
        <f t="shared" si="25"/>
        <v>8326622.7507999977</v>
      </c>
      <c r="I53" s="4">
        <f t="shared" si="25"/>
        <v>8220917.7963999975</v>
      </c>
      <c r="J53" s="4">
        <f t="shared" si="25"/>
        <v>8115212.8419999974</v>
      </c>
      <c r="K53" s="4">
        <f t="shared" si="25"/>
        <v>8009507.8875999972</v>
      </c>
      <c r="L53" s="4">
        <f t="shared" si="25"/>
        <v>7903802.9331999971</v>
      </c>
      <c r="M53" s="4">
        <f t="shared" si="25"/>
        <v>7758097.9787999969</v>
      </c>
      <c r="N53" s="4">
        <f t="shared" si="25"/>
        <v>7644393.0243999967</v>
      </c>
      <c r="O53" s="4">
        <f t="shared" si="25"/>
        <v>7530688.0699999966</v>
      </c>
      <c r="P53" s="4">
        <f t="shared" si="25"/>
        <v>7416983.1155999964</v>
      </c>
      <c r="Q53" s="4">
        <f t="shared" si="25"/>
        <v>7303278.1611999962</v>
      </c>
      <c r="R53" s="4">
        <f t="shared" si="25"/>
        <v>7189573.2067999961</v>
      </c>
      <c r="S53" s="4">
        <f t="shared" si="25"/>
        <v>7035868.2523999959</v>
      </c>
      <c r="T53" s="4">
        <f t="shared" si="25"/>
        <v>6583579.7910399958</v>
      </c>
      <c r="U53" s="4">
        <f t="shared" si="25"/>
        <v>6131291.3296799958</v>
      </c>
      <c r="V53" s="4">
        <f t="shared" si="25"/>
        <v>5679002.8683199957</v>
      </c>
      <c r="W53" s="4">
        <f t="shared" si="25"/>
        <v>4888537.2348799957</v>
      </c>
      <c r="X53" s="4">
        <f t="shared" si="25"/>
        <v>4098071.6014399957</v>
      </c>
      <c r="Y53" s="4">
        <f t="shared" si="25"/>
        <v>3267605.9679999957</v>
      </c>
      <c r="Z53" s="4">
        <f t="shared" si="24"/>
        <v>3267605.9679999957</v>
      </c>
    </row>
    <row r="54" spans="1:26" ht="16.5">
      <c r="A54" s="1" t="s">
        <v>143</v>
      </c>
      <c r="B54" s="4">
        <f>SUM($B46:B46)</f>
        <v>0</v>
      </c>
      <c r="C54" s="4">
        <f>SUM($B46:C46)</f>
        <v>0</v>
      </c>
      <c r="D54" s="4">
        <f>SUM($B46:D46)</f>
        <v>0</v>
      </c>
      <c r="E54" s="4">
        <f>SUM($B46:E46)</f>
        <v>0</v>
      </c>
      <c r="F54" s="4">
        <f>SUM($B46:F46)</f>
        <v>0</v>
      </c>
      <c r="G54" s="4">
        <f>SUM($B46:G46)</f>
        <v>0</v>
      </c>
      <c r="H54" s="4">
        <f>SUM($B46:H46)</f>
        <v>0</v>
      </c>
      <c r="I54" s="4">
        <f>SUM($B46:I46)</f>
        <v>0</v>
      </c>
      <c r="J54" s="4">
        <f>SUM($B46:J46)</f>
        <v>0</v>
      </c>
      <c r="K54" s="4">
        <f>SUM($B46:K46)</f>
        <v>0</v>
      </c>
      <c r="L54" s="4">
        <f>SUM($B46:L46)</f>
        <v>0</v>
      </c>
      <c r="M54" s="4">
        <f>SUM($B46:M46)</f>
        <v>0</v>
      </c>
      <c r="N54" s="4">
        <f>SUM($B46:N46)</f>
        <v>0</v>
      </c>
      <c r="O54" s="4">
        <f>SUM($B46:O46)</f>
        <v>0</v>
      </c>
      <c r="P54" s="4">
        <f>SUM($B46:P46)</f>
        <v>0</v>
      </c>
      <c r="Q54" s="4">
        <f>SUM($B46:Q46)</f>
        <v>0</v>
      </c>
      <c r="R54" s="4">
        <f>SUM($B46:R46)</f>
        <v>0</v>
      </c>
      <c r="S54" s="4">
        <f>SUM($B46:S46)</f>
        <v>0</v>
      </c>
      <c r="T54" s="4">
        <f>SUM($B46:T46)</f>
        <v>0</v>
      </c>
      <c r="U54" s="4">
        <f>SUM($B46:U46)</f>
        <v>0</v>
      </c>
      <c r="V54" s="4">
        <f>SUM($B46:V46)</f>
        <v>0</v>
      </c>
      <c r="W54" s="4">
        <f>SUM($B46:W46)</f>
        <v>0</v>
      </c>
      <c r="X54" s="4">
        <f>SUM($B46:X46)</f>
        <v>0</v>
      </c>
      <c r="Y54" s="4">
        <f>SUM($B46:Y46)</f>
        <v>0</v>
      </c>
      <c r="Z54" s="4">
        <f t="shared" si="24"/>
        <v>0</v>
      </c>
    </row>
    <row r="55" spans="1:26" ht="16.5">
      <c r="A55" s="1" t="s">
        <v>166</v>
      </c>
      <c r="B55" s="4">
        <f t="shared" ref="B55:Y55" si="26">B43</f>
        <v>0</v>
      </c>
      <c r="C55" s="4">
        <f t="shared" si="26"/>
        <v>0</v>
      </c>
      <c r="D55" s="4">
        <f t="shared" si="26"/>
        <v>0</v>
      </c>
      <c r="E55" s="4">
        <f t="shared" si="26"/>
        <v>0</v>
      </c>
      <c r="F55" s="4">
        <f t="shared" si="26"/>
        <v>0</v>
      </c>
      <c r="G55" s="4">
        <f t="shared" si="26"/>
        <v>0</v>
      </c>
      <c r="H55" s="4">
        <f t="shared" si="26"/>
        <v>0</v>
      </c>
      <c r="I55" s="4">
        <f t="shared" si="26"/>
        <v>0</v>
      </c>
      <c r="J55" s="4">
        <f t="shared" si="26"/>
        <v>0</v>
      </c>
      <c r="K55" s="4">
        <f t="shared" si="26"/>
        <v>0</v>
      </c>
      <c r="L55" s="4">
        <f t="shared" si="26"/>
        <v>0</v>
      </c>
      <c r="M55" s="4">
        <f t="shared" si="26"/>
        <v>0</v>
      </c>
      <c r="N55" s="4">
        <f t="shared" si="26"/>
        <v>0</v>
      </c>
      <c r="O55" s="4">
        <f t="shared" si="26"/>
        <v>0</v>
      </c>
      <c r="P55" s="4">
        <f t="shared" si="26"/>
        <v>0</v>
      </c>
      <c r="Q55" s="4">
        <f t="shared" si="26"/>
        <v>0</v>
      </c>
      <c r="R55" s="4">
        <f t="shared" si="26"/>
        <v>0</v>
      </c>
      <c r="S55" s="4">
        <f t="shared" si="26"/>
        <v>0</v>
      </c>
      <c r="T55" s="4">
        <f t="shared" si="26"/>
        <v>0</v>
      </c>
      <c r="U55" s="4">
        <f t="shared" si="26"/>
        <v>0</v>
      </c>
      <c r="V55" s="4">
        <f t="shared" si="26"/>
        <v>0</v>
      </c>
      <c r="W55" s="4">
        <f t="shared" si="26"/>
        <v>0</v>
      </c>
      <c r="X55" s="4">
        <f t="shared" si="26"/>
        <v>0</v>
      </c>
      <c r="Y55" s="4">
        <f t="shared" si="26"/>
        <v>0</v>
      </c>
      <c r="Z55" s="4">
        <f t="shared" si="24"/>
        <v>0</v>
      </c>
    </row>
    <row r="56" spans="1:26" ht="16.5">
      <c r="A56" s="1" t="s">
        <v>141</v>
      </c>
      <c r="B56" s="4">
        <f>Revenue!B18</f>
        <v>0</v>
      </c>
      <c r="C56" s="4">
        <f>Revenue!C18</f>
        <v>0</v>
      </c>
      <c r="D56" s="4">
        <f>Revenue!D18</f>
        <v>0</v>
      </c>
      <c r="E56" s="4">
        <f>Revenue!E18</f>
        <v>0</v>
      </c>
      <c r="F56" s="4">
        <f>Revenue!F18</f>
        <v>0</v>
      </c>
      <c r="G56" s="4">
        <f>Revenue!G18</f>
        <v>0</v>
      </c>
      <c r="H56" s="4">
        <f>Revenue!H18</f>
        <v>0</v>
      </c>
      <c r="I56" s="4">
        <f>Revenue!I18</f>
        <v>0</v>
      </c>
      <c r="J56" s="4">
        <f>Revenue!J18</f>
        <v>0</v>
      </c>
      <c r="K56" s="4">
        <f>Revenue!K18</f>
        <v>0</v>
      </c>
      <c r="L56" s="4">
        <f>Revenue!L18</f>
        <v>0</v>
      </c>
      <c r="M56" s="4">
        <f>Revenue!M18</f>
        <v>0</v>
      </c>
      <c r="N56" s="4">
        <f>Revenue!N18</f>
        <v>0</v>
      </c>
      <c r="O56" s="4">
        <f>Revenue!O18</f>
        <v>0</v>
      </c>
      <c r="P56" s="4">
        <f>Revenue!P18</f>
        <v>0</v>
      </c>
      <c r="Q56" s="4">
        <f>Revenue!Q18</f>
        <v>0</v>
      </c>
      <c r="R56" s="4">
        <f>Revenue!R18</f>
        <v>0</v>
      </c>
      <c r="S56" s="4">
        <f>Revenue!S18</f>
        <v>0</v>
      </c>
      <c r="T56" s="4">
        <f>Revenue!T18</f>
        <v>0</v>
      </c>
      <c r="U56" s="4">
        <f>Revenue!U18</f>
        <v>0</v>
      </c>
      <c r="V56" s="4">
        <f>Revenue!V18</f>
        <v>0</v>
      </c>
      <c r="W56" s="4">
        <f>Revenue!W18</f>
        <v>0</v>
      </c>
      <c r="X56" s="4">
        <f>Revenue!X18</f>
        <v>0</v>
      </c>
      <c r="Y56" s="4">
        <f>Revenue!Y18</f>
        <v>0</v>
      </c>
      <c r="Z56" s="4">
        <f t="shared" si="24"/>
        <v>0</v>
      </c>
    </row>
    <row r="57" spans="1:26" ht="16.5">
      <c r="A57" s="1" t="s">
        <v>144</v>
      </c>
      <c r="B57" s="4">
        <f>SUM(Costs!B39:'Costs'!B39)-SUM(Costs!B40:'Costs'!B40)</f>
        <v>48611.111111111109</v>
      </c>
      <c r="C57" s="4">
        <f>SUM(Costs!B39:'Costs'!C39)-SUM(Costs!B40:'Costs'!C40)</f>
        <v>47222.222222222219</v>
      </c>
      <c r="D57" s="4">
        <f>SUM(Costs!B39:'Costs'!D39)-SUM(Costs!B40:'Costs'!D40)</f>
        <v>45833.333333333336</v>
      </c>
      <c r="E57" s="4">
        <f>SUM(Costs!B39:'Costs'!E39)-SUM(Costs!B40:'Costs'!E40)</f>
        <v>44444.444444444445</v>
      </c>
      <c r="F57" s="4">
        <f>SUM(Costs!B39:'Costs'!F39)-SUM(Costs!B40:'Costs'!F40)</f>
        <v>43055.555555555555</v>
      </c>
      <c r="G57" s="4">
        <f>SUM(Costs!B39:'Costs'!G39)-SUM(Costs!B40:'Costs'!G40)</f>
        <v>41666.666666666664</v>
      </c>
      <c r="H57" s="4">
        <f>SUM(Costs!B39:'Costs'!H39)-SUM(Costs!B40:'Costs'!H40)</f>
        <v>69444.444444444438</v>
      </c>
      <c r="I57" s="4">
        <f>SUM(Costs!B39:'Costs'!I39)-SUM(Costs!B40:'Costs'!I40)</f>
        <v>67222.222222222219</v>
      </c>
      <c r="J57" s="4">
        <f>SUM(Costs!B39:'Costs'!J39)-SUM(Costs!B40:'Costs'!J40)</f>
        <v>65000</v>
      </c>
      <c r="K57" s="4">
        <f>SUM(Costs!B39:'Costs'!K39)-SUM(Costs!B40:'Costs'!K40)</f>
        <v>62777.777777777781</v>
      </c>
      <c r="L57" s="4">
        <f>SUM(Costs!B39:'Costs'!L39)-SUM(Costs!B40:'Costs'!L40)</f>
        <v>60555.555555555555</v>
      </c>
      <c r="M57" s="4">
        <f>SUM(Costs!B39:'Costs'!M39)-SUM(Costs!B40:'Costs'!M40)</f>
        <v>58333.333333333328</v>
      </c>
      <c r="N57" s="4">
        <f>SUM(Costs!B39:'Costs'!N39)-SUM(Costs!B40:'Costs'!N40)</f>
        <v>56111.111111111109</v>
      </c>
      <c r="O57" s="4">
        <f>SUM(Costs!B39:'Costs'!O39)-SUM(Costs!B40:'Costs'!O40)</f>
        <v>53888.888888888891</v>
      </c>
      <c r="P57" s="4">
        <f>SUM(Costs!B39:'Costs'!P39)-SUM(Costs!B40:'Costs'!P40)</f>
        <v>51666.666666666664</v>
      </c>
      <c r="Q57" s="4">
        <f>SUM(Costs!B39:'Costs'!Q39)-SUM(Costs!B40:'Costs'!Q40)</f>
        <v>49444.444444444438</v>
      </c>
      <c r="R57" s="4">
        <f>SUM(Costs!B39:'Costs'!R39)-SUM(Costs!B40:'Costs'!R40)</f>
        <v>47222.222222222219</v>
      </c>
      <c r="S57" s="4">
        <f>SUM(Costs!B39:'Costs'!S39)-SUM(Costs!B40:'Costs'!S40)</f>
        <v>45000</v>
      </c>
      <c r="T57" s="4">
        <f>SUM(Costs!B39:'Costs'!T39)-SUM(Costs!B40:'Costs'!T40)</f>
        <v>42777.777777777781</v>
      </c>
      <c r="U57" s="4">
        <f>SUM(Costs!B39:'Costs'!U39)-SUM(Costs!B40:'Costs'!U40)</f>
        <v>40555.555555555562</v>
      </c>
      <c r="V57" s="4">
        <f>SUM(Costs!B39:'Costs'!V39)-SUM(Costs!B40:'Costs'!V40)</f>
        <v>38333.333333333343</v>
      </c>
      <c r="W57" s="4">
        <f>SUM(Costs!B39:'Costs'!W39)-SUM(Costs!B40:'Costs'!W40)</f>
        <v>36111.111111111124</v>
      </c>
      <c r="X57" s="4">
        <f>SUM(Costs!B39:'Costs'!X39)-SUM(Costs!B40:'Costs'!X40)</f>
        <v>33888.888888888905</v>
      </c>
      <c r="Y57" s="4">
        <f>SUM(Costs!B39:'Costs'!Y39)-SUM(Costs!B40:'Costs'!Y40)</f>
        <v>31666.666666666686</v>
      </c>
      <c r="Z57" s="4">
        <f t="shared" si="24"/>
        <v>31666.666666666686</v>
      </c>
    </row>
    <row r="58" spans="1:26" ht="16.5">
      <c r="A58" s="1" t="s">
        <v>167</v>
      </c>
      <c r="B58" s="4">
        <f t="shared" ref="B58:Y58" si="27">B44-B39-B40+B42</f>
        <v>0</v>
      </c>
      <c r="C58" s="4">
        <f t="shared" si="27"/>
        <v>0</v>
      </c>
      <c r="D58" s="4">
        <f t="shared" si="27"/>
        <v>0</v>
      </c>
      <c r="E58" s="4">
        <f t="shared" si="27"/>
        <v>0</v>
      </c>
      <c r="F58" s="4">
        <f t="shared" si="27"/>
        <v>0</v>
      </c>
      <c r="G58" s="4">
        <f t="shared" si="27"/>
        <v>0</v>
      </c>
      <c r="H58" s="4">
        <f t="shared" si="27"/>
        <v>0</v>
      </c>
      <c r="I58" s="4">
        <f t="shared" si="27"/>
        <v>0</v>
      </c>
      <c r="J58" s="4">
        <f t="shared" si="27"/>
        <v>0</v>
      </c>
      <c r="K58" s="4">
        <f t="shared" si="27"/>
        <v>0</v>
      </c>
      <c r="L58" s="4">
        <f t="shared" si="27"/>
        <v>0</v>
      </c>
      <c r="M58" s="4">
        <f t="shared" si="27"/>
        <v>0</v>
      </c>
      <c r="N58" s="4">
        <f t="shared" si="27"/>
        <v>0</v>
      </c>
      <c r="O58" s="4">
        <f t="shared" si="27"/>
        <v>0</v>
      </c>
      <c r="P58" s="4">
        <f t="shared" si="27"/>
        <v>0</v>
      </c>
      <c r="Q58" s="4">
        <f t="shared" si="27"/>
        <v>0</v>
      </c>
      <c r="R58" s="4">
        <f t="shared" si="27"/>
        <v>0</v>
      </c>
      <c r="S58" s="4">
        <f t="shared" si="27"/>
        <v>0</v>
      </c>
      <c r="T58" s="4">
        <f t="shared" si="27"/>
        <v>0</v>
      </c>
      <c r="U58" s="4">
        <f t="shared" si="27"/>
        <v>0</v>
      </c>
      <c r="V58" s="4">
        <f t="shared" si="27"/>
        <v>0</v>
      </c>
      <c r="W58" s="4">
        <f t="shared" si="27"/>
        <v>0</v>
      </c>
      <c r="X58" s="4">
        <f t="shared" si="27"/>
        <v>0</v>
      </c>
      <c r="Y58" s="4">
        <f t="shared" si="27"/>
        <v>0</v>
      </c>
      <c r="Z58" s="4">
        <f>SUM(B58:Y58)</f>
        <v>0</v>
      </c>
    </row>
    <row r="67" spans="1:26" ht="18">
      <c r="A67" s="6" t="s">
        <v>4</v>
      </c>
    </row>
    <row r="68" spans="1:26" ht="33">
      <c r="A68" s="1" t="s">
        <v>104</v>
      </c>
      <c r="B68" s="11">
        <f>EDATE(Assumptions!$B$3,0)</f>
        <v>46327</v>
      </c>
      <c r="C68" s="11">
        <f>EDATE(Assumptions!$B$3,1)</f>
        <v>46357</v>
      </c>
      <c r="D68" s="11">
        <f>EDATE(Assumptions!$B$3,2)</f>
        <v>46388</v>
      </c>
      <c r="E68" s="11">
        <f>EDATE(Assumptions!$B$3,3)</f>
        <v>46419</v>
      </c>
      <c r="F68" s="11">
        <f>EDATE(Assumptions!$B$3,4)</f>
        <v>46447</v>
      </c>
      <c r="G68" s="11">
        <f>EDATE(Assumptions!$B$3,5)</f>
        <v>46478</v>
      </c>
      <c r="H68" s="11">
        <f>EDATE(Assumptions!$B$3,6)</f>
        <v>46508</v>
      </c>
      <c r="I68" s="11">
        <f>EDATE(Assumptions!$B$3,7)</f>
        <v>46539</v>
      </c>
      <c r="J68" s="11">
        <f>EDATE(Assumptions!$B$3,8)</f>
        <v>46569</v>
      </c>
      <c r="K68" s="11">
        <f>EDATE(Assumptions!$B$3,9)</f>
        <v>46600</v>
      </c>
      <c r="L68" s="11">
        <f>EDATE(Assumptions!$B$3,10)</f>
        <v>46631</v>
      </c>
      <c r="M68" s="11">
        <f>EDATE(Assumptions!$B$3,11)</f>
        <v>46661</v>
      </c>
      <c r="N68" s="11">
        <f>EDATE(Assumptions!$B$3,12)</f>
        <v>46692</v>
      </c>
      <c r="O68" s="11">
        <f>EDATE(Assumptions!$B$3,13)</f>
        <v>46722</v>
      </c>
      <c r="P68" s="11">
        <f>EDATE(Assumptions!$B$3,14)</f>
        <v>46753</v>
      </c>
      <c r="Q68" s="11">
        <f>EDATE(Assumptions!$B$3,15)</f>
        <v>46784</v>
      </c>
      <c r="R68" s="11">
        <f>EDATE(Assumptions!$B$3,16)</f>
        <v>46813</v>
      </c>
      <c r="S68" s="11">
        <f>EDATE(Assumptions!$B$3,17)</f>
        <v>46844</v>
      </c>
      <c r="T68" s="11">
        <f>EDATE(Assumptions!$B$3,18)</f>
        <v>46874</v>
      </c>
      <c r="U68" s="11">
        <f>EDATE(Assumptions!$B$3,19)</f>
        <v>46905</v>
      </c>
      <c r="V68" s="11">
        <f>EDATE(Assumptions!$B$3,20)</f>
        <v>46935</v>
      </c>
      <c r="W68" s="11">
        <f>EDATE(Assumptions!$B$3,21)</f>
        <v>46966</v>
      </c>
      <c r="X68" s="11">
        <f>EDATE(Assumptions!$B$3,22)</f>
        <v>46997</v>
      </c>
      <c r="Y68" s="11">
        <f>EDATE(Assumptions!$B$3,23)</f>
        <v>47027</v>
      </c>
      <c r="Z68" s="1" t="s">
        <v>105</v>
      </c>
    </row>
    <row r="69" spans="1:26" ht="16.5">
      <c r="A69" s="1" t="s">
        <v>149</v>
      </c>
      <c r="B69" s="4">
        <f>Assumptions!$B$4</f>
        <v>0</v>
      </c>
      <c r="C69" s="4">
        <f t="shared" ref="C69:Y69" si="28">B83</f>
        <v>-191557.43160000001</v>
      </c>
      <c r="D69" s="4">
        <f t="shared" si="28"/>
        <v>-308114.86320000002</v>
      </c>
      <c r="E69" s="4">
        <f t="shared" si="28"/>
        <v>-424672.29480000003</v>
      </c>
      <c r="F69" s="4">
        <f t="shared" si="28"/>
        <v>-554729.72640000004</v>
      </c>
      <c r="G69" s="4">
        <f t="shared" si="28"/>
        <v>-684787.15800000005</v>
      </c>
      <c r="H69" s="4">
        <f t="shared" si="28"/>
        <v>-859844.58960000006</v>
      </c>
      <c r="I69" s="4">
        <f t="shared" si="28"/>
        <v>-1066291.3791</v>
      </c>
      <c r="J69" s="4">
        <f t="shared" si="28"/>
        <v>-1227738.1686</v>
      </c>
      <c r="K69" s="4">
        <f t="shared" si="28"/>
        <v>-1389184.9580999999</v>
      </c>
      <c r="L69" s="4">
        <f t="shared" si="28"/>
        <v>-1550631.7475999999</v>
      </c>
      <c r="M69" s="4">
        <f t="shared" si="28"/>
        <v>-1712078.5370999998</v>
      </c>
      <c r="N69" s="4">
        <f t="shared" si="28"/>
        <v>-1933525.3265999998</v>
      </c>
      <c r="O69" s="4">
        <f t="shared" si="28"/>
        <v>-2106972.1160999998</v>
      </c>
      <c r="P69" s="4">
        <f t="shared" si="28"/>
        <v>-2280418.9055999997</v>
      </c>
      <c r="Q69" s="4">
        <f t="shared" si="28"/>
        <v>-2453865.6950999997</v>
      </c>
      <c r="R69" s="4">
        <f t="shared" si="28"/>
        <v>-2627312.4845999996</v>
      </c>
      <c r="S69" s="4">
        <f t="shared" si="28"/>
        <v>-2800759.2740999996</v>
      </c>
      <c r="T69" s="4">
        <f t="shared" si="28"/>
        <v>-3034206.0635999995</v>
      </c>
      <c r="U69" s="4">
        <f t="shared" si="28"/>
        <v>-4900570.3878999995</v>
      </c>
      <c r="V69" s="4">
        <f t="shared" si="28"/>
        <v>-6766934.712199999</v>
      </c>
      <c r="W69" s="4">
        <f t="shared" si="28"/>
        <v>-8633299.0364999995</v>
      </c>
      <c r="X69" s="4">
        <f t="shared" si="28"/>
        <v>-12190549.2212</v>
      </c>
      <c r="Y69" s="4">
        <f t="shared" si="28"/>
        <v>-15747799.405900002</v>
      </c>
      <c r="Z69" s="4">
        <f>Y69</f>
        <v>-15747799.405900002</v>
      </c>
    </row>
    <row r="70" spans="1:26" ht="16.5">
      <c r="A70" s="1" t="s">
        <v>150</v>
      </c>
      <c r="B70" s="4">
        <f>Revenue!B29</f>
        <v>0</v>
      </c>
      <c r="C70" s="4">
        <f>Revenue!C29</f>
        <v>0</v>
      </c>
      <c r="D70" s="4">
        <f>Revenue!D29</f>
        <v>0</v>
      </c>
      <c r="E70" s="4">
        <f>Revenue!E29</f>
        <v>0</v>
      </c>
      <c r="F70" s="4">
        <f>Revenue!F29</f>
        <v>0</v>
      </c>
      <c r="G70" s="4">
        <f>Revenue!G29</f>
        <v>0</v>
      </c>
      <c r="H70" s="4">
        <f>Revenue!H29</f>
        <v>0</v>
      </c>
      <c r="I70" s="4">
        <f>Revenue!I29</f>
        <v>0</v>
      </c>
      <c r="J70" s="4">
        <f>Revenue!J29</f>
        <v>0</v>
      </c>
      <c r="K70" s="4">
        <f>Revenue!K29</f>
        <v>0</v>
      </c>
      <c r="L70" s="4">
        <f>Revenue!L29</f>
        <v>0</v>
      </c>
      <c r="M70" s="4">
        <f>Revenue!M29</f>
        <v>0</v>
      </c>
      <c r="N70" s="4">
        <f>Revenue!N29</f>
        <v>0</v>
      </c>
      <c r="O70" s="4">
        <f>Revenue!O29</f>
        <v>0</v>
      </c>
      <c r="P70" s="4">
        <f>Revenue!P29</f>
        <v>0</v>
      </c>
      <c r="Q70" s="4">
        <f>Revenue!Q29</f>
        <v>0</v>
      </c>
      <c r="R70" s="4">
        <f>Revenue!R29</f>
        <v>0</v>
      </c>
      <c r="S70" s="4">
        <f>Revenue!S29</f>
        <v>0</v>
      </c>
      <c r="T70" s="4">
        <f>Revenue!T29</f>
        <v>0</v>
      </c>
      <c r="U70" s="4">
        <f>Revenue!U29</f>
        <v>0</v>
      </c>
      <c r="V70" s="4">
        <f>Revenue!V29</f>
        <v>0</v>
      </c>
      <c r="W70" s="4">
        <f>Revenue!W29</f>
        <v>0</v>
      </c>
      <c r="X70" s="4">
        <f>Revenue!X29</f>
        <v>0</v>
      </c>
      <c r="Y70" s="4">
        <f>Revenue!Y29</f>
        <v>0</v>
      </c>
      <c r="Z70" s="4">
        <f>SUM(B70:Y70)</f>
        <v>0</v>
      </c>
    </row>
    <row r="71" spans="1:26" ht="16.5">
      <c r="A71" s="1" t="s">
        <v>151</v>
      </c>
      <c r="B71" s="4">
        <f>Costs!B67</f>
        <v>116557.4316</v>
      </c>
      <c r="C71" s="4">
        <f>Costs!C67</f>
        <v>116557.4316</v>
      </c>
      <c r="D71" s="4">
        <f>Costs!D67</f>
        <v>116557.4316</v>
      </c>
      <c r="E71" s="4">
        <f>Costs!E67</f>
        <v>130057.4316</v>
      </c>
      <c r="F71" s="4">
        <f>Costs!F67</f>
        <v>130057.4316</v>
      </c>
      <c r="G71" s="4">
        <f>Costs!G67</f>
        <v>175057.43160000001</v>
      </c>
      <c r="H71" s="4">
        <f>Costs!H67</f>
        <v>161446.78950000001</v>
      </c>
      <c r="I71" s="4">
        <f>Costs!I67</f>
        <v>161446.78950000001</v>
      </c>
      <c r="J71" s="4">
        <f>Costs!J67</f>
        <v>161446.78950000001</v>
      </c>
      <c r="K71" s="4">
        <f>Costs!K67</f>
        <v>161446.78950000001</v>
      </c>
      <c r="L71" s="4">
        <f>Costs!L67</f>
        <v>161446.78950000001</v>
      </c>
      <c r="M71" s="4">
        <f>Costs!M67</f>
        <v>221446.78950000001</v>
      </c>
      <c r="N71" s="4">
        <f>Costs!N67</f>
        <v>173446.78950000001</v>
      </c>
      <c r="O71" s="4">
        <f>Costs!O67</f>
        <v>173446.78950000001</v>
      </c>
      <c r="P71" s="4">
        <f>Costs!P67</f>
        <v>173446.78950000001</v>
      </c>
      <c r="Q71" s="4">
        <f>Costs!Q67</f>
        <v>173446.78950000001</v>
      </c>
      <c r="R71" s="4">
        <f>Costs!R67</f>
        <v>173446.78950000001</v>
      </c>
      <c r="S71" s="4">
        <f>Costs!S67</f>
        <v>233446.78950000001</v>
      </c>
      <c r="T71" s="4">
        <f>Costs!T67</f>
        <v>173446.78950000001</v>
      </c>
      <c r="U71" s="4">
        <f>Costs!U67</f>
        <v>173446.78950000001</v>
      </c>
      <c r="V71" s="4">
        <f>Costs!V67</f>
        <v>173446.78950000001</v>
      </c>
      <c r="W71" s="4">
        <f>Costs!W67</f>
        <v>173446.78950000001</v>
      </c>
      <c r="X71" s="4">
        <f>Costs!X67</f>
        <v>173446.78950000001</v>
      </c>
      <c r="Y71" s="4">
        <f>Costs!Y67</f>
        <v>233446.78950000001</v>
      </c>
      <c r="Z71" s="4">
        <f>SUM(B71:Y71)</f>
        <v>4014886.8005999993</v>
      </c>
    </row>
    <row r="72" spans="1:26" ht="16.5">
      <c r="A72" s="1" t="s">
        <v>152</v>
      </c>
      <c r="B72" s="4">
        <f>Costs!B61</f>
        <v>0</v>
      </c>
      <c r="C72" s="4">
        <f>Costs!C61</f>
        <v>0</v>
      </c>
      <c r="D72" s="4">
        <f>Costs!D61</f>
        <v>0</v>
      </c>
      <c r="E72" s="4">
        <f>Costs!E61</f>
        <v>0</v>
      </c>
      <c r="F72" s="4">
        <f>Costs!F61</f>
        <v>0</v>
      </c>
      <c r="G72" s="4">
        <f>Costs!G61</f>
        <v>0</v>
      </c>
      <c r="H72" s="4">
        <f>Costs!H61</f>
        <v>0</v>
      </c>
      <c r="I72" s="4">
        <f>Costs!I61</f>
        <v>0</v>
      </c>
      <c r="J72" s="4">
        <f>Costs!J61</f>
        <v>0</v>
      </c>
      <c r="K72" s="4">
        <f>Costs!K61</f>
        <v>0</v>
      </c>
      <c r="L72" s="4">
        <f>Costs!L61</f>
        <v>0</v>
      </c>
      <c r="M72" s="4">
        <f>Costs!M61</f>
        <v>0</v>
      </c>
      <c r="N72" s="4">
        <f>Costs!N61</f>
        <v>0</v>
      </c>
      <c r="O72" s="4">
        <f>Costs!O61</f>
        <v>0</v>
      </c>
      <c r="P72" s="4">
        <f>Costs!P61</f>
        <v>0</v>
      </c>
      <c r="Q72" s="4">
        <f>Costs!Q61</f>
        <v>0</v>
      </c>
      <c r="R72" s="4">
        <f>Costs!R61</f>
        <v>0</v>
      </c>
      <c r="S72" s="4">
        <f>Costs!S61</f>
        <v>0</v>
      </c>
      <c r="T72" s="4">
        <f>Costs!T61</f>
        <v>1692917.5348</v>
      </c>
      <c r="U72" s="4">
        <f>Costs!U61</f>
        <v>1692917.5348</v>
      </c>
      <c r="V72" s="4">
        <f>Costs!V61</f>
        <v>1692917.5348</v>
      </c>
      <c r="W72" s="4">
        <f>Costs!W61</f>
        <v>3383803.3952000001</v>
      </c>
      <c r="X72" s="4">
        <f>Costs!X61</f>
        <v>3383803.3952000001</v>
      </c>
      <c r="Y72" s="4">
        <f>Costs!Y61</f>
        <v>3383803.3952000001</v>
      </c>
      <c r="Z72" s="4">
        <f>SUM(B72:Y72)</f>
        <v>15230162.789999999</v>
      </c>
    </row>
    <row r="73" spans="1:26" ht="16.5">
      <c r="A73" s="1" t="s">
        <v>153</v>
      </c>
      <c r="B73" s="4">
        <f>IF(1=Assumptions!$B$10,Assumptions!$B$8,0)</f>
        <v>0</v>
      </c>
      <c r="C73" s="4">
        <f>IF(2=Assumptions!$B$10,Assumptions!$B$8,0)</f>
        <v>0</v>
      </c>
      <c r="D73" s="4">
        <f>IF(3=Assumptions!$B$10,Assumptions!$B$8,0)</f>
        <v>0</v>
      </c>
      <c r="E73" s="4">
        <f>IF(4=Assumptions!$B$10,Assumptions!$B$8,0)</f>
        <v>0</v>
      </c>
      <c r="F73" s="4">
        <f>IF(5=Assumptions!$B$10,Assumptions!$B$8,0)</f>
        <v>0</v>
      </c>
      <c r="G73" s="4">
        <f>IF(6=Assumptions!$B$10,Assumptions!$B$8,0)</f>
        <v>0</v>
      </c>
      <c r="H73" s="4">
        <f>IF(7=Assumptions!$B$10,Assumptions!$B$8,0)</f>
        <v>0</v>
      </c>
      <c r="I73" s="4">
        <f>IF(8=Assumptions!$B$10,Assumptions!$B$8,0)</f>
        <v>0</v>
      </c>
      <c r="J73" s="4">
        <f>IF(9=Assumptions!$B$10,Assumptions!$B$8,0)</f>
        <v>0</v>
      </c>
      <c r="K73" s="4">
        <f>IF(10=Assumptions!$B$10,Assumptions!$B$8,0)</f>
        <v>0</v>
      </c>
      <c r="L73" s="4">
        <f>IF(11=Assumptions!$B$10,Assumptions!$B$8,0)</f>
        <v>0</v>
      </c>
      <c r="M73" s="4">
        <f>IF(12=Assumptions!$B$10,Assumptions!$B$8,0)</f>
        <v>0</v>
      </c>
      <c r="N73" s="4">
        <f>IF(13=Assumptions!$B$10,Assumptions!$B$8,0)</f>
        <v>0</v>
      </c>
      <c r="O73" s="4">
        <f>IF(14=Assumptions!$B$10,Assumptions!$B$8,0)</f>
        <v>0</v>
      </c>
      <c r="P73" s="4">
        <f>IF(15=Assumptions!$B$10,Assumptions!$B$8,0)</f>
        <v>0</v>
      </c>
      <c r="Q73" s="4">
        <f>IF(16=Assumptions!$B$10,Assumptions!$B$8,0)</f>
        <v>0</v>
      </c>
      <c r="R73" s="4">
        <f>IF(17=Assumptions!$B$10,Assumptions!$B$8,0)</f>
        <v>0</v>
      </c>
      <c r="S73" s="4">
        <f>IF(18=Assumptions!$B$10,Assumptions!$B$8,0)</f>
        <v>0</v>
      </c>
      <c r="T73" s="4">
        <f>IF(19=Assumptions!$B$10,Assumptions!$B$8,0)</f>
        <v>0</v>
      </c>
      <c r="U73" s="4">
        <f>IF(20=Assumptions!$B$10,Assumptions!$B$8,0)</f>
        <v>0</v>
      </c>
      <c r="V73" s="4">
        <f>IF(21=Assumptions!$B$10,Assumptions!$B$8,0)</f>
        <v>0</v>
      </c>
      <c r="W73" s="4">
        <f>IF(22=Assumptions!$B$10,Assumptions!$B$8,0)</f>
        <v>0</v>
      </c>
      <c r="X73" s="4">
        <f>IF(23=Assumptions!$B$10,Assumptions!$B$8,0)</f>
        <v>0</v>
      </c>
      <c r="Y73" s="4">
        <f>IF(24=Assumptions!$B$10,Assumptions!$B$8,0)</f>
        <v>0</v>
      </c>
      <c r="Z73" s="4">
        <f>SUM(B73:Y73)</f>
        <v>0</v>
      </c>
    </row>
    <row r="74" spans="1:26" ht="16.5">
      <c r="A74" s="1" t="s">
        <v>154</v>
      </c>
      <c r="B74" s="4">
        <f>0</f>
        <v>0</v>
      </c>
      <c r="C74" s="4">
        <f t="shared" ref="C74:Y74" si="29">B76</f>
        <v>0</v>
      </c>
      <c r="D74" s="4">
        <f t="shared" si="29"/>
        <v>0</v>
      </c>
      <c r="E74" s="4">
        <f t="shared" si="29"/>
        <v>0</v>
      </c>
      <c r="F74" s="4">
        <f t="shared" si="29"/>
        <v>0</v>
      </c>
      <c r="G74" s="4">
        <f t="shared" si="29"/>
        <v>0</v>
      </c>
      <c r="H74" s="4">
        <f t="shared" si="29"/>
        <v>0</v>
      </c>
      <c r="I74" s="4">
        <f t="shared" si="29"/>
        <v>0</v>
      </c>
      <c r="J74" s="4">
        <f t="shared" si="29"/>
        <v>0</v>
      </c>
      <c r="K74" s="4">
        <f t="shared" si="29"/>
        <v>0</v>
      </c>
      <c r="L74" s="4">
        <f t="shared" si="29"/>
        <v>0</v>
      </c>
      <c r="M74" s="4">
        <f t="shared" si="29"/>
        <v>0</v>
      </c>
      <c r="N74" s="4">
        <f t="shared" si="29"/>
        <v>0</v>
      </c>
      <c r="O74" s="4">
        <f t="shared" si="29"/>
        <v>0</v>
      </c>
      <c r="P74" s="4">
        <f t="shared" si="29"/>
        <v>0</v>
      </c>
      <c r="Q74" s="4">
        <f t="shared" si="29"/>
        <v>0</v>
      </c>
      <c r="R74" s="4">
        <f t="shared" si="29"/>
        <v>0</v>
      </c>
      <c r="S74" s="4">
        <f t="shared" si="29"/>
        <v>0</v>
      </c>
      <c r="T74" s="4">
        <f t="shared" si="29"/>
        <v>0</v>
      </c>
      <c r="U74" s="4">
        <f t="shared" si="29"/>
        <v>0</v>
      </c>
      <c r="V74" s="4">
        <f t="shared" si="29"/>
        <v>0</v>
      </c>
      <c r="W74" s="4">
        <f t="shared" si="29"/>
        <v>0</v>
      </c>
      <c r="X74" s="4">
        <f t="shared" si="29"/>
        <v>0</v>
      </c>
      <c r="Y74" s="4">
        <f t="shared" si="29"/>
        <v>0</v>
      </c>
      <c r="Z74" s="4">
        <f>Y74</f>
        <v>0</v>
      </c>
    </row>
    <row r="75" spans="1:26" ht="16.5">
      <c r="A75" s="1" t="s">
        <v>155</v>
      </c>
      <c r="B75" s="4">
        <f t="shared" ref="B75:Y75" si="30">MIN(B74+B73,B72)</f>
        <v>0</v>
      </c>
      <c r="C75" s="4">
        <f t="shared" si="30"/>
        <v>0</v>
      </c>
      <c r="D75" s="4">
        <f t="shared" si="30"/>
        <v>0</v>
      </c>
      <c r="E75" s="4">
        <f t="shared" si="30"/>
        <v>0</v>
      </c>
      <c r="F75" s="4">
        <f t="shared" si="30"/>
        <v>0</v>
      </c>
      <c r="G75" s="4">
        <f t="shared" si="30"/>
        <v>0</v>
      </c>
      <c r="H75" s="4">
        <f t="shared" si="30"/>
        <v>0</v>
      </c>
      <c r="I75" s="4">
        <f t="shared" si="30"/>
        <v>0</v>
      </c>
      <c r="J75" s="4">
        <f t="shared" si="30"/>
        <v>0</v>
      </c>
      <c r="K75" s="4">
        <f t="shared" si="30"/>
        <v>0</v>
      </c>
      <c r="L75" s="4">
        <f t="shared" si="30"/>
        <v>0</v>
      </c>
      <c r="M75" s="4">
        <f t="shared" si="30"/>
        <v>0</v>
      </c>
      <c r="N75" s="4">
        <f t="shared" si="30"/>
        <v>0</v>
      </c>
      <c r="O75" s="4">
        <f t="shared" si="30"/>
        <v>0</v>
      </c>
      <c r="P75" s="4">
        <f t="shared" si="30"/>
        <v>0</v>
      </c>
      <c r="Q75" s="4">
        <f t="shared" si="30"/>
        <v>0</v>
      </c>
      <c r="R75" s="4">
        <f t="shared" si="30"/>
        <v>0</v>
      </c>
      <c r="S75" s="4">
        <f t="shared" si="30"/>
        <v>0</v>
      </c>
      <c r="T75" s="4">
        <f t="shared" si="30"/>
        <v>0</v>
      </c>
      <c r="U75" s="4">
        <f t="shared" si="30"/>
        <v>0</v>
      </c>
      <c r="V75" s="4">
        <f t="shared" si="30"/>
        <v>0</v>
      </c>
      <c r="W75" s="4">
        <f t="shared" si="30"/>
        <v>0</v>
      </c>
      <c r="X75" s="4">
        <f t="shared" si="30"/>
        <v>0</v>
      </c>
      <c r="Y75" s="4">
        <f t="shared" si="30"/>
        <v>0</v>
      </c>
      <c r="Z75" s="4">
        <f>SUM(B75:Y75)</f>
        <v>0</v>
      </c>
    </row>
    <row r="76" spans="1:26" ht="16.5">
      <c r="A76" s="1" t="s">
        <v>156</v>
      </c>
      <c r="B76" s="4">
        <f t="shared" ref="B76:Y76" si="31">B74+B73-B75</f>
        <v>0</v>
      </c>
      <c r="C76" s="4">
        <f t="shared" si="31"/>
        <v>0</v>
      </c>
      <c r="D76" s="4">
        <f t="shared" si="31"/>
        <v>0</v>
      </c>
      <c r="E76" s="4">
        <f t="shared" si="31"/>
        <v>0</v>
      </c>
      <c r="F76" s="4">
        <f t="shared" si="31"/>
        <v>0</v>
      </c>
      <c r="G76" s="4">
        <f t="shared" si="31"/>
        <v>0</v>
      </c>
      <c r="H76" s="4">
        <f t="shared" si="31"/>
        <v>0</v>
      </c>
      <c r="I76" s="4">
        <f t="shared" si="31"/>
        <v>0</v>
      </c>
      <c r="J76" s="4">
        <f t="shared" si="31"/>
        <v>0</v>
      </c>
      <c r="K76" s="4">
        <f t="shared" si="31"/>
        <v>0</v>
      </c>
      <c r="L76" s="4">
        <f t="shared" si="31"/>
        <v>0</v>
      </c>
      <c r="M76" s="4">
        <f t="shared" si="31"/>
        <v>0</v>
      </c>
      <c r="N76" s="4">
        <f t="shared" si="31"/>
        <v>0</v>
      </c>
      <c r="O76" s="4">
        <f t="shared" si="31"/>
        <v>0</v>
      </c>
      <c r="P76" s="4">
        <f t="shared" si="31"/>
        <v>0</v>
      </c>
      <c r="Q76" s="4">
        <f t="shared" si="31"/>
        <v>0</v>
      </c>
      <c r="R76" s="4">
        <f t="shared" si="31"/>
        <v>0</v>
      </c>
      <c r="S76" s="4">
        <f t="shared" si="31"/>
        <v>0</v>
      </c>
      <c r="T76" s="4">
        <f t="shared" si="31"/>
        <v>0</v>
      </c>
      <c r="U76" s="4">
        <f t="shared" si="31"/>
        <v>0</v>
      </c>
      <c r="V76" s="4">
        <f t="shared" si="31"/>
        <v>0</v>
      </c>
      <c r="W76" s="4">
        <f t="shared" si="31"/>
        <v>0</v>
      </c>
      <c r="X76" s="4">
        <f t="shared" si="31"/>
        <v>0</v>
      </c>
      <c r="Y76" s="4">
        <f t="shared" si="31"/>
        <v>0</v>
      </c>
      <c r="Z76" s="4">
        <f>Y76</f>
        <v>0</v>
      </c>
    </row>
    <row r="77" spans="1:26" ht="16.5">
      <c r="A77" s="1" t="s">
        <v>157</v>
      </c>
      <c r="B77" s="4">
        <f t="shared" ref="B77:Y77" si="32">B72-B75+B73</f>
        <v>0</v>
      </c>
      <c r="C77" s="4">
        <f t="shared" si="32"/>
        <v>0</v>
      </c>
      <c r="D77" s="4">
        <f t="shared" si="32"/>
        <v>0</v>
      </c>
      <c r="E77" s="4">
        <f t="shared" si="32"/>
        <v>0</v>
      </c>
      <c r="F77" s="4">
        <f t="shared" si="32"/>
        <v>0</v>
      </c>
      <c r="G77" s="4">
        <f t="shared" si="32"/>
        <v>0</v>
      </c>
      <c r="H77" s="4">
        <f t="shared" si="32"/>
        <v>0</v>
      </c>
      <c r="I77" s="4">
        <f t="shared" si="32"/>
        <v>0</v>
      </c>
      <c r="J77" s="4">
        <f t="shared" si="32"/>
        <v>0</v>
      </c>
      <c r="K77" s="4">
        <f t="shared" si="32"/>
        <v>0</v>
      </c>
      <c r="L77" s="4">
        <f t="shared" si="32"/>
        <v>0</v>
      </c>
      <c r="M77" s="4">
        <f t="shared" si="32"/>
        <v>0</v>
      </c>
      <c r="N77" s="4">
        <f t="shared" si="32"/>
        <v>0</v>
      </c>
      <c r="O77" s="4">
        <f t="shared" si="32"/>
        <v>0</v>
      </c>
      <c r="P77" s="4">
        <f t="shared" si="32"/>
        <v>0</v>
      </c>
      <c r="Q77" s="4">
        <f t="shared" si="32"/>
        <v>0</v>
      </c>
      <c r="R77" s="4">
        <f t="shared" si="32"/>
        <v>0</v>
      </c>
      <c r="S77" s="4">
        <f t="shared" si="32"/>
        <v>0</v>
      </c>
      <c r="T77" s="4">
        <f t="shared" si="32"/>
        <v>1692917.5348</v>
      </c>
      <c r="U77" s="4">
        <f t="shared" si="32"/>
        <v>1692917.5348</v>
      </c>
      <c r="V77" s="4">
        <f t="shared" si="32"/>
        <v>1692917.5348</v>
      </c>
      <c r="W77" s="4">
        <f t="shared" si="32"/>
        <v>3383803.3952000001</v>
      </c>
      <c r="X77" s="4">
        <f t="shared" si="32"/>
        <v>3383803.3952000001</v>
      </c>
      <c r="Y77" s="4">
        <f t="shared" si="32"/>
        <v>3383803.3952000001</v>
      </c>
      <c r="Z77" s="4">
        <f t="shared" ref="Z77:Z82" si="33">SUM(B77:Y77)</f>
        <v>15230162.789999999</v>
      </c>
    </row>
    <row r="78" spans="1:26" ht="16.5">
      <c r="A78" s="1" t="s">
        <v>158</v>
      </c>
      <c r="B78" s="4">
        <f>Costs!B62</f>
        <v>0</v>
      </c>
      <c r="C78" s="4">
        <f>Costs!C62</f>
        <v>0</v>
      </c>
      <c r="D78" s="4">
        <f>Costs!D62</f>
        <v>0</v>
      </c>
      <c r="E78" s="4">
        <f>Costs!E62</f>
        <v>0</v>
      </c>
      <c r="F78" s="4">
        <f>Costs!F62</f>
        <v>0</v>
      </c>
      <c r="G78" s="4">
        <f>Costs!G62</f>
        <v>0</v>
      </c>
      <c r="H78" s="4">
        <f>Costs!H62</f>
        <v>0</v>
      </c>
      <c r="I78" s="4">
        <f>Costs!I62</f>
        <v>0</v>
      </c>
      <c r="J78" s="4">
        <f>Costs!J62</f>
        <v>0</v>
      </c>
      <c r="K78" s="4">
        <f>Costs!K62</f>
        <v>0</v>
      </c>
      <c r="L78" s="4">
        <f>Costs!L62</f>
        <v>0</v>
      </c>
      <c r="M78" s="4">
        <f>Costs!M62</f>
        <v>0</v>
      </c>
      <c r="N78" s="4">
        <f>Costs!N62</f>
        <v>0</v>
      </c>
      <c r="O78" s="4">
        <f>Costs!O62</f>
        <v>0</v>
      </c>
      <c r="P78" s="4">
        <f>Costs!P62</f>
        <v>0</v>
      </c>
      <c r="Q78" s="4">
        <f>Costs!Q62</f>
        <v>0</v>
      </c>
      <c r="R78" s="4">
        <f>Costs!R62</f>
        <v>0</v>
      </c>
      <c r="S78" s="4">
        <f>Costs!S62</f>
        <v>0</v>
      </c>
      <c r="T78" s="4">
        <f>Costs!T62</f>
        <v>0</v>
      </c>
      <c r="U78" s="4">
        <f>Costs!U62</f>
        <v>0</v>
      </c>
      <c r="V78" s="4">
        <f>Costs!V62</f>
        <v>0</v>
      </c>
      <c r="W78" s="4">
        <f>Costs!W62</f>
        <v>0</v>
      </c>
      <c r="X78" s="4">
        <f>Costs!X62</f>
        <v>0</v>
      </c>
      <c r="Y78" s="4">
        <f>Costs!Y62</f>
        <v>0</v>
      </c>
      <c r="Z78" s="4">
        <f t="shared" si="33"/>
        <v>0</v>
      </c>
    </row>
    <row r="79" spans="1:26" ht="16.5">
      <c r="A79" s="1" t="s">
        <v>159</v>
      </c>
      <c r="B79" s="4">
        <f>IF(1=Assumptions!$B$10,Assumptions!$B$9,0)</f>
        <v>0</v>
      </c>
      <c r="C79" s="4">
        <f>IF(2=Assumptions!$B$10,Assumptions!$B$9,0)</f>
        <v>0</v>
      </c>
      <c r="D79" s="4">
        <f>IF(3=Assumptions!$B$10,Assumptions!$B$9,0)</f>
        <v>0</v>
      </c>
      <c r="E79" s="4">
        <f>IF(4=Assumptions!$B$10,Assumptions!$B$9,0)</f>
        <v>0</v>
      </c>
      <c r="F79" s="4">
        <f>IF(5=Assumptions!$B$10,Assumptions!$B$9,0)</f>
        <v>0</v>
      </c>
      <c r="G79" s="4">
        <f>IF(6=Assumptions!$B$10,Assumptions!$B$9,0)</f>
        <v>0</v>
      </c>
      <c r="H79" s="4">
        <f>IF(7=Assumptions!$B$10,Assumptions!$B$9,0)</f>
        <v>0</v>
      </c>
      <c r="I79" s="4">
        <f>IF(8=Assumptions!$B$10,Assumptions!$B$9,0)</f>
        <v>0</v>
      </c>
      <c r="J79" s="4">
        <f>IF(9=Assumptions!$B$10,Assumptions!$B$9,0)</f>
        <v>0</v>
      </c>
      <c r="K79" s="4">
        <f>IF(10=Assumptions!$B$10,Assumptions!$B$9,0)</f>
        <v>0</v>
      </c>
      <c r="L79" s="4">
        <f>IF(11=Assumptions!$B$10,Assumptions!$B$9,0)</f>
        <v>0</v>
      </c>
      <c r="M79" s="4">
        <f>IF(12=Assumptions!$B$10,Assumptions!$B$9,0)</f>
        <v>0</v>
      </c>
      <c r="N79" s="4">
        <f>IF(13=Assumptions!$B$10,Assumptions!$B$9,0)</f>
        <v>0</v>
      </c>
      <c r="O79" s="4">
        <f>IF(14=Assumptions!$B$10,Assumptions!$B$9,0)</f>
        <v>0</v>
      </c>
      <c r="P79" s="4">
        <f>IF(15=Assumptions!$B$10,Assumptions!$B$9,0)</f>
        <v>0</v>
      </c>
      <c r="Q79" s="4">
        <f>IF(16=Assumptions!$B$10,Assumptions!$B$9,0)</f>
        <v>0</v>
      </c>
      <c r="R79" s="4">
        <f>IF(17=Assumptions!$B$10,Assumptions!$B$9,0)</f>
        <v>0</v>
      </c>
      <c r="S79" s="4">
        <f>IF(18=Assumptions!$B$10,Assumptions!$B$9,0)</f>
        <v>0</v>
      </c>
      <c r="T79" s="4">
        <f>IF(19=Assumptions!$B$10,Assumptions!$B$9,0)</f>
        <v>0</v>
      </c>
      <c r="U79" s="4">
        <f>IF(20=Assumptions!$B$10,Assumptions!$B$9,0)</f>
        <v>0</v>
      </c>
      <c r="V79" s="4">
        <f>IF(21=Assumptions!$B$10,Assumptions!$B$9,0)</f>
        <v>0</v>
      </c>
      <c r="W79" s="4">
        <f>IF(22=Assumptions!$B$10,Assumptions!$B$9,0)</f>
        <v>0</v>
      </c>
      <c r="X79" s="4">
        <f>IF(23=Assumptions!$B$10,Assumptions!$B$9,0)</f>
        <v>0</v>
      </c>
      <c r="Y79" s="4">
        <f>IF(24=Assumptions!$B$10,Assumptions!$B$9,0)</f>
        <v>0</v>
      </c>
      <c r="Z79" s="4">
        <f t="shared" si="33"/>
        <v>0</v>
      </c>
    </row>
    <row r="80" spans="1:26" ht="16.5">
      <c r="A80" s="1" t="s">
        <v>125</v>
      </c>
      <c r="B80" s="4">
        <f>Costs!B64</f>
        <v>75000</v>
      </c>
      <c r="C80" s="4">
        <f>Costs!C64</f>
        <v>0</v>
      </c>
      <c r="D80" s="4">
        <f>Costs!D64</f>
        <v>0</v>
      </c>
      <c r="E80" s="4">
        <f>Costs!E64</f>
        <v>0</v>
      </c>
      <c r="F80" s="4">
        <f>Costs!F64</f>
        <v>0</v>
      </c>
      <c r="G80" s="4">
        <f>Costs!G64</f>
        <v>0</v>
      </c>
      <c r="H80" s="4">
        <f>Costs!H64</f>
        <v>45000</v>
      </c>
      <c r="I80" s="4">
        <f>Costs!I64</f>
        <v>0</v>
      </c>
      <c r="J80" s="4">
        <f>Costs!J64</f>
        <v>0</v>
      </c>
      <c r="K80" s="4">
        <f>Costs!K64</f>
        <v>0</v>
      </c>
      <c r="L80" s="4">
        <f>Costs!L64</f>
        <v>0</v>
      </c>
      <c r="M80" s="4">
        <f>Costs!M64</f>
        <v>0</v>
      </c>
      <c r="N80" s="4">
        <f>Costs!N64</f>
        <v>0</v>
      </c>
      <c r="O80" s="4">
        <f>Costs!O64</f>
        <v>0</v>
      </c>
      <c r="P80" s="4">
        <f>Costs!P64</f>
        <v>0</v>
      </c>
      <c r="Q80" s="4">
        <f>Costs!Q64</f>
        <v>0</v>
      </c>
      <c r="R80" s="4">
        <f>Costs!R64</f>
        <v>0</v>
      </c>
      <c r="S80" s="4">
        <f>Costs!S64</f>
        <v>0</v>
      </c>
      <c r="T80" s="4">
        <f>Costs!T64</f>
        <v>0</v>
      </c>
      <c r="U80" s="4">
        <f>Costs!U64</f>
        <v>0</v>
      </c>
      <c r="V80" s="4">
        <f>Costs!V64</f>
        <v>0</v>
      </c>
      <c r="W80" s="4">
        <f>Costs!W64</f>
        <v>0</v>
      </c>
      <c r="X80" s="4">
        <f>Costs!X64</f>
        <v>0</v>
      </c>
      <c r="Y80" s="4">
        <f>Costs!Y64</f>
        <v>0</v>
      </c>
      <c r="Z80" s="4">
        <f t="shared" si="33"/>
        <v>120000</v>
      </c>
    </row>
    <row r="81" spans="1:26" ht="16.5">
      <c r="A81" s="1" t="s">
        <v>160</v>
      </c>
      <c r="B81" s="4">
        <f t="shared" ref="B81:Y81" si="34">B71+B77+B78+B79+B80</f>
        <v>191557.43160000001</v>
      </c>
      <c r="C81" s="4">
        <f t="shared" si="34"/>
        <v>116557.4316</v>
      </c>
      <c r="D81" s="4">
        <f t="shared" si="34"/>
        <v>116557.4316</v>
      </c>
      <c r="E81" s="4">
        <f t="shared" si="34"/>
        <v>130057.4316</v>
      </c>
      <c r="F81" s="4">
        <f t="shared" si="34"/>
        <v>130057.4316</v>
      </c>
      <c r="G81" s="4">
        <f t="shared" si="34"/>
        <v>175057.43160000001</v>
      </c>
      <c r="H81" s="4">
        <f t="shared" si="34"/>
        <v>206446.78950000001</v>
      </c>
      <c r="I81" s="4">
        <f t="shared" si="34"/>
        <v>161446.78950000001</v>
      </c>
      <c r="J81" s="4">
        <f t="shared" si="34"/>
        <v>161446.78950000001</v>
      </c>
      <c r="K81" s="4">
        <f t="shared" si="34"/>
        <v>161446.78950000001</v>
      </c>
      <c r="L81" s="4">
        <f t="shared" si="34"/>
        <v>161446.78950000001</v>
      </c>
      <c r="M81" s="4">
        <f t="shared" si="34"/>
        <v>221446.78950000001</v>
      </c>
      <c r="N81" s="4">
        <f t="shared" si="34"/>
        <v>173446.78950000001</v>
      </c>
      <c r="O81" s="4">
        <f t="shared" si="34"/>
        <v>173446.78950000001</v>
      </c>
      <c r="P81" s="4">
        <f t="shared" si="34"/>
        <v>173446.78950000001</v>
      </c>
      <c r="Q81" s="4">
        <f t="shared" si="34"/>
        <v>173446.78950000001</v>
      </c>
      <c r="R81" s="4">
        <f t="shared" si="34"/>
        <v>173446.78950000001</v>
      </c>
      <c r="S81" s="4">
        <f t="shared" si="34"/>
        <v>233446.78950000001</v>
      </c>
      <c r="T81" s="4">
        <f t="shared" si="34"/>
        <v>1866364.3243</v>
      </c>
      <c r="U81" s="4">
        <f t="shared" si="34"/>
        <v>1866364.3243</v>
      </c>
      <c r="V81" s="4">
        <f t="shared" si="34"/>
        <v>1866364.3243</v>
      </c>
      <c r="W81" s="4">
        <f t="shared" si="34"/>
        <v>3557250.1847000001</v>
      </c>
      <c r="X81" s="4">
        <f t="shared" si="34"/>
        <v>3557250.1847000001</v>
      </c>
      <c r="Y81" s="4">
        <f t="shared" si="34"/>
        <v>3617250.1847000001</v>
      </c>
      <c r="Z81" s="4">
        <f t="shared" si="33"/>
        <v>19365049.590600003</v>
      </c>
    </row>
    <row r="82" spans="1:26" ht="16.5">
      <c r="A82" s="1" t="s">
        <v>161</v>
      </c>
      <c r="B82" s="4">
        <f t="shared" ref="B82:Y82" si="35">B70-B81</f>
        <v>-191557.43160000001</v>
      </c>
      <c r="C82" s="4">
        <f t="shared" si="35"/>
        <v>-116557.4316</v>
      </c>
      <c r="D82" s="4">
        <f t="shared" si="35"/>
        <v>-116557.4316</v>
      </c>
      <c r="E82" s="4">
        <f t="shared" si="35"/>
        <v>-130057.4316</v>
      </c>
      <c r="F82" s="4">
        <f t="shared" si="35"/>
        <v>-130057.4316</v>
      </c>
      <c r="G82" s="4">
        <f t="shared" si="35"/>
        <v>-175057.43160000001</v>
      </c>
      <c r="H82" s="4">
        <f t="shared" si="35"/>
        <v>-206446.78950000001</v>
      </c>
      <c r="I82" s="4">
        <f t="shared" si="35"/>
        <v>-161446.78950000001</v>
      </c>
      <c r="J82" s="4">
        <f t="shared" si="35"/>
        <v>-161446.78950000001</v>
      </c>
      <c r="K82" s="4">
        <f t="shared" si="35"/>
        <v>-161446.78950000001</v>
      </c>
      <c r="L82" s="4">
        <f t="shared" si="35"/>
        <v>-161446.78950000001</v>
      </c>
      <c r="M82" s="4">
        <f t="shared" si="35"/>
        <v>-221446.78950000001</v>
      </c>
      <c r="N82" s="4">
        <f t="shared" si="35"/>
        <v>-173446.78950000001</v>
      </c>
      <c r="O82" s="4">
        <f t="shared" si="35"/>
        <v>-173446.78950000001</v>
      </c>
      <c r="P82" s="4">
        <f t="shared" si="35"/>
        <v>-173446.78950000001</v>
      </c>
      <c r="Q82" s="4">
        <f t="shared" si="35"/>
        <v>-173446.78950000001</v>
      </c>
      <c r="R82" s="4">
        <f t="shared" si="35"/>
        <v>-173446.78950000001</v>
      </c>
      <c r="S82" s="4">
        <f t="shared" si="35"/>
        <v>-233446.78950000001</v>
      </c>
      <c r="T82" s="4">
        <f t="shared" si="35"/>
        <v>-1866364.3243</v>
      </c>
      <c r="U82" s="4">
        <f t="shared" si="35"/>
        <v>-1866364.3243</v>
      </c>
      <c r="V82" s="4">
        <f t="shared" si="35"/>
        <v>-1866364.3243</v>
      </c>
      <c r="W82" s="4">
        <f t="shared" si="35"/>
        <v>-3557250.1847000001</v>
      </c>
      <c r="X82" s="4">
        <f t="shared" si="35"/>
        <v>-3557250.1847000001</v>
      </c>
      <c r="Y82" s="4">
        <f t="shared" si="35"/>
        <v>-3617250.1847000001</v>
      </c>
      <c r="Z82" s="4">
        <f t="shared" si="33"/>
        <v>-19365049.590600003</v>
      </c>
    </row>
    <row r="83" spans="1:26" ht="16.5">
      <c r="A83" s="1" t="s">
        <v>162</v>
      </c>
      <c r="B83" s="4">
        <f t="shared" ref="B83:Y83" si="36">B69+B82</f>
        <v>-191557.43160000001</v>
      </c>
      <c r="C83" s="4">
        <f t="shared" si="36"/>
        <v>-308114.86320000002</v>
      </c>
      <c r="D83" s="4">
        <f t="shared" si="36"/>
        <v>-424672.29480000003</v>
      </c>
      <c r="E83" s="4">
        <f t="shared" si="36"/>
        <v>-554729.72640000004</v>
      </c>
      <c r="F83" s="4">
        <f t="shared" si="36"/>
        <v>-684787.15800000005</v>
      </c>
      <c r="G83" s="4">
        <f t="shared" si="36"/>
        <v>-859844.58960000006</v>
      </c>
      <c r="H83" s="4">
        <f t="shared" si="36"/>
        <v>-1066291.3791</v>
      </c>
      <c r="I83" s="4">
        <f t="shared" si="36"/>
        <v>-1227738.1686</v>
      </c>
      <c r="J83" s="4">
        <f t="shared" si="36"/>
        <v>-1389184.9580999999</v>
      </c>
      <c r="K83" s="4">
        <f t="shared" si="36"/>
        <v>-1550631.7475999999</v>
      </c>
      <c r="L83" s="4">
        <f t="shared" si="36"/>
        <v>-1712078.5370999998</v>
      </c>
      <c r="M83" s="4">
        <f t="shared" si="36"/>
        <v>-1933525.3265999998</v>
      </c>
      <c r="N83" s="4">
        <f t="shared" si="36"/>
        <v>-2106972.1160999998</v>
      </c>
      <c r="O83" s="4">
        <f t="shared" si="36"/>
        <v>-2280418.9055999997</v>
      </c>
      <c r="P83" s="4">
        <f t="shared" si="36"/>
        <v>-2453865.6950999997</v>
      </c>
      <c r="Q83" s="4">
        <f t="shared" si="36"/>
        <v>-2627312.4845999996</v>
      </c>
      <c r="R83" s="4">
        <f t="shared" si="36"/>
        <v>-2800759.2740999996</v>
      </c>
      <c r="S83" s="4">
        <f t="shared" si="36"/>
        <v>-3034206.0635999995</v>
      </c>
      <c r="T83" s="4">
        <f t="shared" si="36"/>
        <v>-4900570.3878999995</v>
      </c>
      <c r="U83" s="4">
        <f t="shared" si="36"/>
        <v>-6766934.712199999</v>
      </c>
      <c r="V83" s="4">
        <f t="shared" si="36"/>
        <v>-8633299.0364999995</v>
      </c>
      <c r="W83" s="4">
        <f t="shared" si="36"/>
        <v>-12190549.2212</v>
      </c>
      <c r="X83" s="4">
        <f t="shared" si="36"/>
        <v>-15747799.405900002</v>
      </c>
      <c r="Y83" s="4">
        <f t="shared" si="36"/>
        <v>-19365049.590600003</v>
      </c>
      <c r="Z83" s="4">
        <f>Y83</f>
        <v>-19365049.590600003</v>
      </c>
    </row>
    <row r="84" spans="1:26" ht="16.5">
      <c r="A84" s="1" t="s">
        <v>163</v>
      </c>
      <c r="B84" s="4">
        <f>IF(1=1,Summary!D$19,0)</f>
        <v>31500000</v>
      </c>
      <c r="C84" s="4">
        <f>IF(2=1,Summary!D$19,0)</f>
        <v>0</v>
      </c>
      <c r="D84" s="4">
        <f>IF(3=1,Summary!D$19,0)</f>
        <v>0</v>
      </c>
      <c r="E84" s="4">
        <f>IF(4=1,Summary!D$19,0)</f>
        <v>0</v>
      </c>
      <c r="F84" s="4">
        <f>IF(5=1,Summary!D$19,0)</f>
        <v>0</v>
      </c>
      <c r="G84" s="4">
        <f>IF(6=1,Summary!D$19,0)</f>
        <v>0</v>
      </c>
      <c r="H84" s="4">
        <f>IF(7=1,Summary!D$19,0)</f>
        <v>0</v>
      </c>
      <c r="I84" s="4">
        <f>IF(8=1,Summary!D$19,0)</f>
        <v>0</v>
      </c>
      <c r="J84" s="4">
        <f>IF(9=1,Summary!D$19,0)</f>
        <v>0</v>
      </c>
      <c r="K84" s="4">
        <f>IF(10=1,Summary!D$19,0)</f>
        <v>0</v>
      </c>
      <c r="L84" s="4">
        <f>IF(11=1,Summary!D$19,0)</f>
        <v>0</v>
      </c>
      <c r="M84" s="4">
        <f>IF(12=1,Summary!D$19,0)</f>
        <v>0</v>
      </c>
      <c r="N84" s="4">
        <f>IF(13=1,Summary!D$19,0)</f>
        <v>0</v>
      </c>
      <c r="O84" s="4">
        <f>IF(14=1,Summary!D$19,0)</f>
        <v>0</v>
      </c>
      <c r="P84" s="4">
        <f>IF(15=1,Summary!D$19,0)</f>
        <v>0</v>
      </c>
      <c r="Q84" s="4">
        <f>IF(16=1,Summary!D$19,0)</f>
        <v>0</v>
      </c>
      <c r="R84" s="4">
        <f>IF(17=1,Summary!D$19,0)</f>
        <v>0</v>
      </c>
      <c r="S84" s="4">
        <f>IF(18=1,Summary!D$19,0)</f>
        <v>0</v>
      </c>
      <c r="T84" s="4">
        <f>IF(19=1,Summary!D$19,0)</f>
        <v>0</v>
      </c>
      <c r="U84" s="4">
        <f>IF(20=1,Summary!D$19,0)</f>
        <v>0</v>
      </c>
      <c r="V84" s="4">
        <f>IF(21=1,Summary!D$19,0)</f>
        <v>0</v>
      </c>
      <c r="W84" s="4">
        <f>IF(22=1,Summary!D$19,0)</f>
        <v>0</v>
      </c>
      <c r="X84" s="4">
        <f>IF(23=1,Summary!D$19,0)</f>
        <v>0</v>
      </c>
      <c r="Y84" s="4">
        <f>IF(24=1,Summary!D$19,0)</f>
        <v>0</v>
      </c>
      <c r="Z84" s="4">
        <f>SUM(B84:Y84)</f>
        <v>31500000</v>
      </c>
    </row>
    <row r="85" spans="1:26" ht="16.5">
      <c r="A85" s="1" t="s">
        <v>164</v>
      </c>
      <c r="B85" s="4">
        <f>Assumptions!$B$4</f>
        <v>0</v>
      </c>
      <c r="C85" s="4">
        <f t="shared" ref="C85:Y85" si="37">B86</f>
        <v>31308442.568399999</v>
      </c>
      <c r="D85" s="4">
        <f t="shared" si="37"/>
        <v>31191885.136799999</v>
      </c>
      <c r="E85" s="4">
        <f t="shared" si="37"/>
        <v>31075327.705199998</v>
      </c>
      <c r="F85" s="4">
        <f t="shared" si="37"/>
        <v>30945270.273599997</v>
      </c>
      <c r="G85" s="4">
        <f t="shared" si="37"/>
        <v>30815212.841999996</v>
      </c>
      <c r="H85" s="4">
        <f t="shared" si="37"/>
        <v>30640155.410399996</v>
      </c>
      <c r="I85" s="4">
        <f t="shared" si="37"/>
        <v>30433708.620899994</v>
      </c>
      <c r="J85" s="4">
        <f t="shared" si="37"/>
        <v>30272261.831399992</v>
      </c>
      <c r="K85" s="4">
        <f t="shared" si="37"/>
        <v>30110815.04189999</v>
      </c>
      <c r="L85" s="4">
        <f t="shared" si="37"/>
        <v>29949368.252399988</v>
      </c>
      <c r="M85" s="4">
        <f t="shared" si="37"/>
        <v>29787921.462899987</v>
      </c>
      <c r="N85" s="4">
        <f t="shared" si="37"/>
        <v>29566474.673399985</v>
      </c>
      <c r="O85" s="4">
        <f t="shared" si="37"/>
        <v>29393027.883899983</v>
      </c>
      <c r="P85" s="4">
        <f t="shared" si="37"/>
        <v>29219581.094399981</v>
      </c>
      <c r="Q85" s="4">
        <f t="shared" si="37"/>
        <v>29046134.304899979</v>
      </c>
      <c r="R85" s="4">
        <f t="shared" si="37"/>
        <v>28872687.515399978</v>
      </c>
      <c r="S85" s="4">
        <f t="shared" si="37"/>
        <v>28699240.725899976</v>
      </c>
      <c r="T85" s="4">
        <f t="shared" si="37"/>
        <v>28465793.936399974</v>
      </c>
      <c r="U85" s="4">
        <f t="shared" si="37"/>
        <v>26599429.612099975</v>
      </c>
      <c r="V85" s="4">
        <f t="shared" si="37"/>
        <v>24733065.287799977</v>
      </c>
      <c r="W85" s="4">
        <f t="shared" si="37"/>
        <v>22866700.963499978</v>
      </c>
      <c r="X85" s="4">
        <f t="shared" si="37"/>
        <v>19309450.778799977</v>
      </c>
      <c r="Y85" s="4">
        <f t="shared" si="37"/>
        <v>15752200.594099976</v>
      </c>
      <c r="Z85" s="4">
        <f t="shared" ref="Z85:Z90" si="38">Y85</f>
        <v>15752200.594099976</v>
      </c>
    </row>
    <row r="86" spans="1:26" ht="16.5">
      <c r="A86" s="1" t="s">
        <v>165</v>
      </c>
      <c r="B86" s="4">
        <f t="shared" ref="B86:Y86" si="39">B85+B70+B84-B81</f>
        <v>31308442.568399999</v>
      </c>
      <c r="C86" s="4">
        <f t="shared" si="39"/>
        <v>31191885.136799999</v>
      </c>
      <c r="D86" s="4">
        <f t="shared" si="39"/>
        <v>31075327.705199998</v>
      </c>
      <c r="E86" s="4">
        <f t="shared" si="39"/>
        <v>30945270.273599997</v>
      </c>
      <c r="F86" s="4">
        <f t="shared" si="39"/>
        <v>30815212.841999996</v>
      </c>
      <c r="G86" s="4">
        <f t="shared" si="39"/>
        <v>30640155.410399996</v>
      </c>
      <c r="H86" s="4">
        <f t="shared" si="39"/>
        <v>30433708.620899994</v>
      </c>
      <c r="I86" s="4">
        <f t="shared" si="39"/>
        <v>30272261.831399992</v>
      </c>
      <c r="J86" s="4">
        <f t="shared" si="39"/>
        <v>30110815.04189999</v>
      </c>
      <c r="K86" s="4">
        <f t="shared" si="39"/>
        <v>29949368.252399988</v>
      </c>
      <c r="L86" s="4">
        <f t="shared" si="39"/>
        <v>29787921.462899987</v>
      </c>
      <c r="M86" s="4">
        <f t="shared" si="39"/>
        <v>29566474.673399985</v>
      </c>
      <c r="N86" s="4">
        <f t="shared" si="39"/>
        <v>29393027.883899983</v>
      </c>
      <c r="O86" s="4">
        <f t="shared" si="39"/>
        <v>29219581.094399981</v>
      </c>
      <c r="P86" s="4">
        <f t="shared" si="39"/>
        <v>29046134.304899979</v>
      </c>
      <c r="Q86" s="4">
        <f t="shared" si="39"/>
        <v>28872687.515399978</v>
      </c>
      <c r="R86" s="4">
        <f t="shared" si="39"/>
        <v>28699240.725899976</v>
      </c>
      <c r="S86" s="4">
        <f t="shared" si="39"/>
        <v>28465793.936399974</v>
      </c>
      <c r="T86" s="4">
        <f t="shared" si="39"/>
        <v>26599429.612099975</v>
      </c>
      <c r="U86" s="4">
        <f t="shared" si="39"/>
        <v>24733065.287799977</v>
      </c>
      <c r="V86" s="4">
        <f t="shared" si="39"/>
        <v>22866700.963499978</v>
      </c>
      <c r="W86" s="4">
        <f t="shared" si="39"/>
        <v>19309450.778799977</v>
      </c>
      <c r="X86" s="4">
        <f t="shared" si="39"/>
        <v>15752200.594099976</v>
      </c>
      <c r="Y86" s="4">
        <f t="shared" si="39"/>
        <v>12134950.409399975</v>
      </c>
      <c r="Z86" s="4">
        <f t="shared" si="38"/>
        <v>12134950.409399975</v>
      </c>
    </row>
    <row r="87" spans="1:26" ht="16.5">
      <c r="A87" s="1" t="s">
        <v>143</v>
      </c>
      <c r="B87" s="4">
        <f>SUM($B79:B79)</f>
        <v>0</v>
      </c>
      <c r="C87" s="4">
        <f>SUM($B79:C79)</f>
        <v>0</v>
      </c>
      <c r="D87" s="4">
        <f>SUM($B79:D79)</f>
        <v>0</v>
      </c>
      <c r="E87" s="4">
        <f>SUM($B79:E79)</f>
        <v>0</v>
      </c>
      <c r="F87" s="4">
        <f>SUM($B79:F79)</f>
        <v>0</v>
      </c>
      <c r="G87" s="4">
        <f>SUM($B79:G79)</f>
        <v>0</v>
      </c>
      <c r="H87" s="4">
        <f>SUM($B79:H79)</f>
        <v>0</v>
      </c>
      <c r="I87" s="4">
        <f>SUM($B79:I79)</f>
        <v>0</v>
      </c>
      <c r="J87" s="4">
        <f>SUM($B79:J79)</f>
        <v>0</v>
      </c>
      <c r="K87" s="4">
        <f>SUM($B79:K79)</f>
        <v>0</v>
      </c>
      <c r="L87" s="4">
        <f>SUM($B79:L79)</f>
        <v>0</v>
      </c>
      <c r="M87" s="4">
        <f>SUM($B79:M79)</f>
        <v>0</v>
      </c>
      <c r="N87" s="4">
        <f>SUM($B79:N79)</f>
        <v>0</v>
      </c>
      <c r="O87" s="4">
        <f>SUM($B79:O79)</f>
        <v>0</v>
      </c>
      <c r="P87" s="4">
        <f>SUM($B79:P79)</f>
        <v>0</v>
      </c>
      <c r="Q87" s="4">
        <f>SUM($B79:Q79)</f>
        <v>0</v>
      </c>
      <c r="R87" s="4">
        <f>SUM($B79:R79)</f>
        <v>0</v>
      </c>
      <c r="S87" s="4">
        <f>SUM($B79:S79)</f>
        <v>0</v>
      </c>
      <c r="T87" s="4">
        <f>SUM($B79:T79)</f>
        <v>0</v>
      </c>
      <c r="U87" s="4">
        <f>SUM($B79:U79)</f>
        <v>0</v>
      </c>
      <c r="V87" s="4">
        <f>SUM($B79:V79)</f>
        <v>0</v>
      </c>
      <c r="W87" s="4">
        <f>SUM($B79:W79)</f>
        <v>0</v>
      </c>
      <c r="X87" s="4">
        <f>SUM($B79:X79)</f>
        <v>0</v>
      </c>
      <c r="Y87" s="4">
        <f>SUM($B79:Y79)</f>
        <v>0</v>
      </c>
      <c r="Z87" s="4">
        <f t="shared" si="38"/>
        <v>0</v>
      </c>
    </row>
    <row r="88" spans="1:26" ht="16.5">
      <c r="A88" s="1" t="s">
        <v>166</v>
      </c>
      <c r="B88" s="4">
        <f t="shared" ref="B88:Y88" si="40">B76</f>
        <v>0</v>
      </c>
      <c r="C88" s="4">
        <f t="shared" si="40"/>
        <v>0</v>
      </c>
      <c r="D88" s="4">
        <f t="shared" si="40"/>
        <v>0</v>
      </c>
      <c r="E88" s="4">
        <f t="shared" si="40"/>
        <v>0</v>
      </c>
      <c r="F88" s="4">
        <f t="shared" si="40"/>
        <v>0</v>
      </c>
      <c r="G88" s="4">
        <f t="shared" si="40"/>
        <v>0</v>
      </c>
      <c r="H88" s="4">
        <f t="shared" si="40"/>
        <v>0</v>
      </c>
      <c r="I88" s="4">
        <f t="shared" si="40"/>
        <v>0</v>
      </c>
      <c r="J88" s="4">
        <f t="shared" si="40"/>
        <v>0</v>
      </c>
      <c r="K88" s="4">
        <f t="shared" si="40"/>
        <v>0</v>
      </c>
      <c r="L88" s="4">
        <f t="shared" si="40"/>
        <v>0</v>
      </c>
      <c r="M88" s="4">
        <f t="shared" si="40"/>
        <v>0</v>
      </c>
      <c r="N88" s="4">
        <f t="shared" si="40"/>
        <v>0</v>
      </c>
      <c r="O88" s="4">
        <f t="shared" si="40"/>
        <v>0</v>
      </c>
      <c r="P88" s="4">
        <f t="shared" si="40"/>
        <v>0</v>
      </c>
      <c r="Q88" s="4">
        <f t="shared" si="40"/>
        <v>0</v>
      </c>
      <c r="R88" s="4">
        <f t="shared" si="40"/>
        <v>0</v>
      </c>
      <c r="S88" s="4">
        <f t="shared" si="40"/>
        <v>0</v>
      </c>
      <c r="T88" s="4">
        <f t="shared" si="40"/>
        <v>0</v>
      </c>
      <c r="U88" s="4">
        <f t="shared" si="40"/>
        <v>0</v>
      </c>
      <c r="V88" s="4">
        <f t="shared" si="40"/>
        <v>0</v>
      </c>
      <c r="W88" s="4">
        <f t="shared" si="40"/>
        <v>0</v>
      </c>
      <c r="X88" s="4">
        <f t="shared" si="40"/>
        <v>0</v>
      </c>
      <c r="Y88" s="4">
        <f t="shared" si="40"/>
        <v>0</v>
      </c>
      <c r="Z88" s="4">
        <f t="shared" si="38"/>
        <v>0</v>
      </c>
    </row>
    <row r="89" spans="1:26" ht="16.5">
      <c r="A89" s="1" t="s">
        <v>141</v>
      </c>
      <c r="B89" s="4">
        <f>Revenue!B30</f>
        <v>0</v>
      </c>
      <c r="C89" s="4">
        <f>Revenue!C30</f>
        <v>0</v>
      </c>
      <c r="D89" s="4">
        <f>Revenue!D30</f>
        <v>0</v>
      </c>
      <c r="E89" s="4">
        <f>Revenue!E30</f>
        <v>0</v>
      </c>
      <c r="F89" s="4">
        <f>Revenue!F30</f>
        <v>0</v>
      </c>
      <c r="G89" s="4">
        <f>Revenue!G30</f>
        <v>0</v>
      </c>
      <c r="H89" s="4">
        <f>Revenue!H30</f>
        <v>0</v>
      </c>
      <c r="I89" s="4">
        <f>Revenue!I30</f>
        <v>0</v>
      </c>
      <c r="J89" s="4">
        <f>Revenue!J30</f>
        <v>0</v>
      </c>
      <c r="K89" s="4">
        <f>Revenue!K30</f>
        <v>0</v>
      </c>
      <c r="L89" s="4">
        <f>Revenue!L30</f>
        <v>0</v>
      </c>
      <c r="M89" s="4">
        <f>Revenue!M30</f>
        <v>0</v>
      </c>
      <c r="N89" s="4">
        <f>Revenue!N30</f>
        <v>0</v>
      </c>
      <c r="O89" s="4">
        <f>Revenue!O30</f>
        <v>0</v>
      </c>
      <c r="P89" s="4">
        <f>Revenue!P30</f>
        <v>0</v>
      </c>
      <c r="Q89" s="4">
        <f>Revenue!Q30</f>
        <v>0</v>
      </c>
      <c r="R89" s="4">
        <f>Revenue!R30</f>
        <v>0</v>
      </c>
      <c r="S89" s="4">
        <f>Revenue!S30</f>
        <v>0</v>
      </c>
      <c r="T89" s="4">
        <f>Revenue!T30</f>
        <v>0</v>
      </c>
      <c r="U89" s="4">
        <f>Revenue!U30</f>
        <v>0</v>
      </c>
      <c r="V89" s="4">
        <f>Revenue!V30</f>
        <v>0</v>
      </c>
      <c r="W89" s="4">
        <f>Revenue!W30</f>
        <v>0</v>
      </c>
      <c r="X89" s="4">
        <f>Revenue!X30</f>
        <v>0</v>
      </c>
      <c r="Y89" s="4">
        <f>Revenue!Y30</f>
        <v>0</v>
      </c>
      <c r="Z89" s="4">
        <f t="shared" si="38"/>
        <v>0</v>
      </c>
    </row>
    <row r="90" spans="1:26" ht="16.5">
      <c r="A90" s="1" t="s">
        <v>144</v>
      </c>
      <c r="B90" s="4">
        <f>SUM(Costs!B64:'Costs'!B64)-SUM(Costs!B65:'Costs'!B65)</f>
        <v>72916.666666666672</v>
      </c>
      <c r="C90" s="4">
        <f>SUM(Costs!B64:'Costs'!C64)-SUM(Costs!B65:'Costs'!C65)</f>
        <v>70833.333333333328</v>
      </c>
      <c r="D90" s="4">
        <f>SUM(Costs!B64:'Costs'!D64)-SUM(Costs!B65:'Costs'!D65)</f>
        <v>68750</v>
      </c>
      <c r="E90" s="4">
        <f>SUM(Costs!B64:'Costs'!E64)-SUM(Costs!B65:'Costs'!E65)</f>
        <v>66666.666666666672</v>
      </c>
      <c r="F90" s="4">
        <f>SUM(Costs!B64:'Costs'!F64)-SUM(Costs!B65:'Costs'!F65)</f>
        <v>64583.333333333328</v>
      </c>
      <c r="G90" s="4">
        <f>SUM(Costs!B64:'Costs'!G64)-SUM(Costs!B65:'Costs'!G65)</f>
        <v>62500</v>
      </c>
      <c r="H90" s="4">
        <f>SUM(Costs!B64:'Costs'!H64)-SUM(Costs!B65:'Costs'!H65)</f>
        <v>104166.66666666666</v>
      </c>
      <c r="I90" s="4">
        <f>SUM(Costs!B64:'Costs'!I64)-SUM(Costs!B65:'Costs'!I65)</f>
        <v>100833.33333333333</v>
      </c>
      <c r="J90" s="4">
        <f>SUM(Costs!B64:'Costs'!J64)-SUM(Costs!B65:'Costs'!J65)</f>
        <v>97500</v>
      </c>
      <c r="K90" s="4">
        <f>SUM(Costs!B64:'Costs'!K64)-SUM(Costs!B65:'Costs'!K65)</f>
        <v>94166.666666666672</v>
      </c>
      <c r="L90" s="4">
        <f>SUM(Costs!B64:'Costs'!L64)-SUM(Costs!B65:'Costs'!L65)</f>
        <v>90833.333333333343</v>
      </c>
      <c r="M90" s="4">
        <f>SUM(Costs!B64:'Costs'!M64)-SUM(Costs!B65:'Costs'!M65)</f>
        <v>87500</v>
      </c>
      <c r="N90" s="4">
        <f>SUM(Costs!B64:'Costs'!N64)-SUM(Costs!B65:'Costs'!N65)</f>
        <v>84166.666666666672</v>
      </c>
      <c r="O90" s="4">
        <f>SUM(Costs!B64:'Costs'!O64)-SUM(Costs!B65:'Costs'!O65)</f>
        <v>80833.333333333343</v>
      </c>
      <c r="P90" s="4">
        <f>SUM(Costs!B64:'Costs'!P64)-SUM(Costs!B65:'Costs'!P65)</f>
        <v>77500</v>
      </c>
      <c r="Q90" s="4">
        <f>SUM(Costs!B64:'Costs'!Q64)-SUM(Costs!B65:'Costs'!Q65)</f>
        <v>74166.666666666657</v>
      </c>
      <c r="R90" s="4">
        <f>SUM(Costs!B64:'Costs'!R64)-SUM(Costs!B65:'Costs'!R65)</f>
        <v>70833.333333333328</v>
      </c>
      <c r="S90" s="4">
        <f>SUM(Costs!B64:'Costs'!S64)-SUM(Costs!B65:'Costs'!S65)</f>
        <v>67500</v>
      </c>
      <c r="T90" s="4">
        <f>SUM(Costs!B64:'Costs'!T64)-SUM(Costs!B65:'Costs'!T65)</f>
        <v>64166.666666666657</v>
      </c>
      <c r="U90" s="4">
        <f>SUM(Costs!B64:'Costs'!U64)-SUM(Costs!B65:'Costs'!U65)</f>
        <v>60833.333333333321</v>
      </c>
      <c r="V90" s="4">
        <f>SUM(Costs!B64:'Costs'!V64)-SUM(Costs!B65:'Costs'!V65)</f>
        <v>57499.999999999985</v>
      </c>
      <c r="W90" s="4">
        <f>SUM(Costs!B64:'Costs'!W64)-SUM(Costs!B65:'Costs'!W65)</f>
        <v>54166.666666666657</v>
      </c>
      <c r="X90" s="4">
        <f>SUM(Costs!B64:'Costs'!X64)-SUM(Costs!B65:'Costs'!X65)</f>
        <v>50833.333333333328</v>
      </c>
      <c r="Y90" s="4">
        <f>SUM(Costs!B64:'Costs'!Y64)-SUM(Costs!B65:'Costs'!Y65)</f>
        <v>47500</v>
      </c>
      <c r="Z90" s="4">
        <f t="shared" si="38"/>
        <v>47500</v>
      </c>
    </row>
    <row r="91" spans="1:26" ht="16.5">
      <c r="A91" s="1" t="s">
        <v>167</v>
      </c>
      <c r="B91" s="4">
        <f t="shared" ref="B91:Y91" si="41">B77-B72-B73+B75</f>
        <v>0</v>
      </c>
      <c r="C91" s="4">
        <f t="shared" si="41"/>
        <v>0</v>
      </c>
      <c r="D91" s="4">
        <f t="shared" si="41"/>
        <v>0</v>
      </c>
      <c r="E91" s="4">
        <f t="shared" si="41"/>
        <v>0</v>
      </c>
      <c r="F91" s="4">
        <f t="shared" si="41"/>
        <v>0</v>
      </c>
      <c r="G91" s="4">
        <f t="shared" si="41"/>
        <v>0</v>
      </c>
      <c r="H91" s="4">
        <f t="shared" si="41"/>
        <v>0</v>
      </c>
      <c r="I91" s="4">
        <f t="shared" si="41"/>
        <v>0</v>
      </c>
      <c r="J91" s="4">
        <f t="shared" si="41"/>
        <v>0</v>
      </c>
      <c r="K91" s="4">
        <f t="shared" si="41"/>
        <v>0</v>
      </c>
      <c r="L91" s="4">
        <f t="shared" si="41"/>
        <v>0</v>
      </c>
      <c r="M91" s="4">
        <f t="shared" si="41"/>
        <v>0</v>
      </c>
      <c r="N91" s="4">
        <f t="shared" si="41"/>
        <v>0</v>
      </c>
      <c r="O91" s="4">
        <f t="shared" si="41"/>
        <v>0</v>
      </c>
      <c r="P91" s="4">
        <f t="shared" si="41"/>
        <v>0</v>
      </c>
      <c r="Q91" s="4">
        <f t="shared" si="41"/>
        <v>0</v>
      </c>
      <c r="R91" s="4">
        <f t="shared" si="41"/>
        <v>0</v>
      </c>
      <c r="S91" s="4">
        <f t="shared" si="41"/>
        <v>0</v>
      </c>
      <c r="T91" s="4">
        <f t="shared" si="41"/>
        <v>0</v>
      </c>
      <c r="U91" s="4">
        <f t="shared" si="41"/>
        <v>0</v>
      </c>
      <c r="V91" s="4">
        <f t="shared" si="41"/>
        <v>0</v>
      </c>
      <c r="W91" s="4">
        <f t="shared" si="41"/>
        <v>0</v>
      </c>
      <c r="X91" s="4">
        <f t="shared" si="41"/>
        <v>0</v>
      </c>
      <c r="Y91" s="4">
        <f t="shared" si="41"/>
        <v>0</v>
      </c>
      <c r="Z91" s="4">
        <f>SUM(B91:Y91)</f>
        <v>0</v>
      </c>
    </row>
  </sheetData>
  <phoneticPr fontId="4" type="noConversion"/>
  <printOptions horizontalCentered="1"/>
  <pageMargins left="0.25" right="0.25" top="1" bottom="1" header="0.5" footer="0.5"/>
  <pageSetup paperSize="8" fitToWidth="2" fitToHeight="0" orientation="landscape"/>
  <headerFooter>
    <oddFooter>&amp;CBlocky Studio | 规划预算 | &amp;P / &amp;N</oddFooter>
  </headerFooter>
  <rowBreaks count="2" manualBreakCount="2">
    <brk id="33" max="16383" man="1"/>
    <brk id="66" max="16383" man="1"/>
  </rowBreaks>
  <colBreaks count="1" manualBreakCount="1">
    <brk id="13" max="1638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2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3.5"/>
  <cols>
    <col min="1" max="1" width="39" customWidth="1"/>
    <col min="2" max="4" width="22" customWidth="1"/>
  </cols>
  <sheetData>
    <row r="1" spans="1:4" ht="30" customHeight="1">
      <c r="A1" s="12" t="s">
        <v>168</v>
      </c>
      <c r="B1" s="13"/>
      <c r="C1" s="13"/>
      <c r="D1" s="13"/>
    </row>
    <row r="2" spans="1:4" ht="24" customHeight="1"/>
    <row r="3" spans="1:4" ht="24" customHeight="1">
      <c r="A3" s="2"/>
      <c r="B3" s="3" t="s">
        <v>2</v>
      </c>
      <c r="C3" s="3" t="s">
        <v>3</v>
      </c>
      <c r="D3" s="3" t="s">
        <v>4</v>
      </c>
    </row>
    <row r="4" spans="1:4" ht="24" customHeight="1">
      <c r="A4" s="3" t="s">
        <v>169</v>
      </c>
      <c r="B4" s="5">
        <f>Summary!B19</f>
        <v>4000000</v>
      </c>
      <c r="C4" s="5">
        <f>Summary!C19</f>
        <v>9000000</v>
      </c>
      <c r="D4" s="5">
        <f>Summary!D19</f>
        <v>31500000</v>
      </c>
    </row>
    <row r="5" spans="1:4" ht="24" customHeight="1">
      <c r="A5" s="1" t="s">
        <v>170</v>
      </c>
      <c r="B5" s="4">
        <f>Summary!B13</f>
        <v>0</v>
      </c>
      <c r="C5" s="4">
        <f>Summary!C13</f>
        <v>0</v>
      </c>
      <c r="D5" s="4">
        <f>Summary!D13</f>
        <v>0</v>
      </c>
    </row>
    <row r="6" spans="1:4" ht="24" customHeight="1">
      <c r="A6" s="1" t="s">
        <v>171</v>
      </c>
      <c r="B6" s="4">
        <f>Summary!B12</f>
        <v>0</v>
      </c>
      <c r="C6" s="4">
        <f>Summary!C12</f>
        <v>0</v>
      </c>
      <c r="D6" s="4">
        <f>Summary!D12</f>
        <v>0</v>
      </c>
    </row>
    <row r="7" spans="1:4" ht="24" customHeight="1">
      <c r="A7" s="1" t="s">
        <v>172</v>
      </c>
      <c r="B7" s="4">
        <f>SUM(B4:B6)</f>
        <v>4000000</v>
      </c>
      <c r="C7" s="4">
        <f>SUM(C4:C6)</f>
        <v>9000000</v>
      </c>
      <c r="D7" s="4">
        <f>SUM(D4:D6)</f>
        <v>31500000</v>
      </c>
    </row>
    <row r="8" spans="1:4" ht="24" customHeight="1"/>
    <row r="9" spans="1:4" ht="24" customHeight="1">
      <c r="A9" s="1" t="s">
        <v>173</v>
      </c>
      <c r="B9" s="4">
        <f>Summary!B8</f>
        <v>1056000</v>
      </c>
      <c r="C9" s="4">
        <f>Summary!C8</f>
        <v>1800000</v>
      </c>
      <c r="D9" s="4">
        <f>Summary!D8</f>
        <v>2736000</v>
      </c>
    </row>
    <row r="10" spans="1:4" ht="24" customHeight="1">
      <c r="A10" s="1" t="s">
        <v>116</v>
      </c>
      <c r="B10" s="4">
        <f>Summary!B7</f>
        <v>95348.81070000006</v>
      </c>
      <c r="C10" s="4">
        <f>Summary!C7</f>
        <v>173361.47399999996</v>
      </c>
      <c r="D10" s="4">
        <f>Summary!D7</f>
        <v>329386.80060000013</v>
      </c>
    </row>
    <row r="11" spans="1:4" ht="24" customHeight="1">
      <c r="A11" s="1" t="s">
        <v>174</v>
      </c>
      <c r="B11" s="4">
        <f>SUM('Cash Flow'!B11:Y11)</f>
        <v>913809.76740000001</v>
      </c>
      <c r="C11" s="4">
        <f>SUM('Cash Flow'!B44:Y44)</f>
        <v>3046032.5579999997</v>
      </c>
      <c r="D11" s="4">
        <f>SUM('Cash Flow'!B77:Y77)</f>
        <v>15230162.789999999</v>
      </c>
    </row>
    <row r="12" spans="1:4" ht="24" customHeight="1">
      <c r="A12" s="1" t="s">
        <v>175</v>
      </c>
      <c r="B12" s="4">
        <f>Summary!B9</f>
        <v>474750.00000000047</v>
      </c>
      <c r="C12" s="4">
        <f>Summary!C9</f>
        <v>633000.00000000047</v>
      </c>
      <c r="D12" s="4">
        <f>Summary!D9</f>
        <v>949499.99999999907</v>
      </c>
    </row>
    <row r="13" spans="1:4" ht="24" customHeight="1">
      <c r="A13" s="1" t="s">
        <v>176</v>
      </c>
      <c r="B13" s="4">
        <f>Summary!B10</f>
        <v>60000</v>
      </c>
      <c r="C13" s="4">
        <f>Summary!C10</f>
        <v>80000</v>
      </c>
      <c r="D13" s="4">
        <f>Summary!D10</f>
        <v>120000</v>
      </c>
    </row>
    <row r="14" spans="1:4" ht="24" customHeight="1">
      <c r="A14" s="1" t="s">
        <v>177</v>
      </c>
      <c r="B14" s="4">
        <f>SUM('Cash Flow'!B12:Y13)</f>
        <v>0</v>
      </c>
      <c r="C14" s="4">
        <f>SUM('Cash Flow'!B45:Y46)</f>
        <v>0</v>
      </c>
      <c r="D14" s="4">
        <f>SUM('Cash Flow'!B78:Y79)</f>
        <v>0</v>
      </c>
    </row>
    <row r="15" spans="1:4" ht="24" customHeight="1">
      <c r="A15" s="1" t="s">
        <v>178</v>
      </c>
      <c r="B15" s="4">
        <f>SUM(B9:B14)</f>
        <v>2599908.5781000005</v>
      </c>
      <c r="C15" s="4">
        <f>SUM(C9:C14)</f>
        <v>5732394.0319999997</v>
      </c>
      <c r="D15" s="4">
        <f>SUM(D9:D14)</f>
        <v>19365049.590599999</v>
      </c>
    </row>
    <row r="16" spans="1:4" ht="24" customHeight="1">
      <c r="A16" s="2"/>
      <c r="B16" s="2"/>
      <c r="C16" s="2"/>
      <c r="D16" s="2"/>
    </row>
    <row r="17" spans="1:4" ht="24" customHeight="1">
      <c r="A17" s="1" t="s">
        <v>179</v>
      </c>
      <c r="B17" s="4">
        <f>Summary!B20</f>
        <v>1400091.4219000014</v>
      </c>
      <c r="C17" s="4">
        <f>Summary!C20</f>
        <v>3267605.9679999957</v>
      </c>
      <c r="D17" s="4">
        <f>Summary!D20</f>
        <v>12134950.409399975</v>
      </c>
    </row>
    <row r="18" spans="1:4" ht="24" customHeight="1">
      <c r="A18" s="1" t="s">
        <v>180</v>
      </c>
      <c r="B18" s="4">
        <f>B15+B17</f>
        <v>4000000.0000000019</v>
      </c>
      <c r="C18" s="4">
        <f>C15+C17</f>
        <v>8999999.9999999963</v>
      </c>
      <c r="D18" s="4">
        <f>D15+D17</f>
        <v>31499999.999999974</v>
      </c>
    </row>
    <row r="19" spans="1:4" ht="24" customHeight="1">
      <c r="A19" s="1" t="s">
        <v>181</v>
      </c>
      <c r="B19" s="4">
        <f>B7-B18</f>
        <v>0</v>
      </c>
      <c r="C19" s="4">
        <f>C7-C18</f>
        <v>0</v>
      </c>
      <c r="D19" s="4">
        <f>D7-D18</f>
        <v>0</v>
      </c>
    </row>
    <row r="20" spans="1:4" ht="24" customHeight="1"/>
    <row r="21" spans="1:4" ht="24" customHeight="1">
      <c r="A21" s="1" t="s">
        <v>182</v>
      </c>
      <c r="B21" s="4">
        <f>Summary!B15</f>
        <v>162609.88107000006</v>
      </c>
      <c r="C21" s="4">
        <f>Summary!C15</f>
        <v>260636.14740000005</v>
      </c>
      <c r="D21" s="4">
        <f>Summary!D15</f>
        <v>602233.02008999989</v>
      </c>
    </row>
    <row r="22" spans="1:4" ht="24" customHeight="1">
      <c r="A22" s="1" t="s">
        <v>183</v>
      </c>
      <c r="B22" s="4">
        <f>Summary!B16</f>
        <v>100000</v>
      </c>
      <c r="C22" s="4">
        <f>Summary!C16</f>
        <v>300000</v>
      </c>
      <c r="D22" s="4">
        <f>Summary!D16</f>
        <v>800000</v>
      </c>
    </row>
    <row r="23" spans="1:4" ht="24" customHeight="1">
      <c r="A23" s="1" t="s">
        <v>184</v>
      </c>
      <c r="B23" s="4">
        <f>Summary!B17</f>
        <v>824586.72168599989</v>
      </c>
      <c r="C23" s="4">
        <f>Summary!C17</f>
        <v>2371396.90032</v>
      </c>
      <c r="D23" s="4">
        <f>Summary!D17</f>
        <v>10671750.554099999</v>
      </c>
    </row>
    <row r="24" spans="1:4" ht="24" customHeight="1">
      <c r="A24" s="1" t="s">
        <v>185</v>
      </c>
      <c r="B24" s="4">
        <f>Summary!B19-Summary!B18</f>
        <v>312894.8191440003</v>
      </c>
      <c r="C24" s="4">
        <f>Summary!C19-Summary!C18</f>
        <v>335572.92028000019</v>
      </c>
      <c r="D24" s="4">
        <f>Summary!D19-Summary!D18</f>
        <v>60966.835209999233</v>
      </c>
    </row>
    <row r="25" spans="1:4" ht="24" customHeight="1"/>
    <row r="26" spans="1:4" ht="24" customHeight="1">
      <c r="A26" s="1" t="s">
        <v>186</v>
      </c>
      <c r="B26" s="4">
        <f>Summary!B18</f>
        <v>3687105.1808559997</v>
      </c>
      <c r="C26" s="4">
        <f>Summary!C18</f>
        <v>8664427.0797199998</v>
      </c>
      <c r="D26" s="4">
        <f>Summary!D18</f>
        <v>31439033.164790001</v>
      </c>
    </row>
  </sheetData>
  <mergeCells count="1">
    <mergeCell ref="A1:D1"/>
  </mergeCells>
  <phoneticPr fontId="4" type="noConversion"/>
  <printOptions horizontalCentered="1"/>
  <pageMargins left="0.25" right="0.25" top="1" bottom="1" header="0.5" footer="0.5"/>
  <pageSetup paperSize="8" orientation="landscape"/>
  <headerFooter>
    <oddFooter>&amp;CBlocky Studio | 规划预算 |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3.5"/>
  <cols>
    <col min="1" max="1" width="39" customWidth="1"/>
    <col min="2" max="4" width="22" customWidth="1"/>
  </cols>
  <sheetData>
    <row r="1" spans="1:4" ht="30" customHeight="1">
      <c r="A1" s="12" t="s">
        <v>187</v>
      </c>
      <c r="B1" s="13"/>
      <c r="C1" s="13"/>
      <c r="D1" s="13"/>
    </row>
    <row r="2" spans="1:4" ht="24" customHeight="1"/>
    <row r="3" spans="1:4" ht="24" customHeight="1">
      <c r="A3" s="2"/>
      <c r="B3" s="3" t="s">
        <v>2</v>
      </c>
      <c r="C3" s="3" t="s">
        <v>3</v>
      </c>
      <c r="D3" s="3" t="s">
        <v>4</v>
      </c>
    </row>
    <row r="4" spans="1:4" ht="24" customHeight="1">
      <c r="A4" s="3" t="s">
        <v>188</v>
      </c>
      <c r="B4" s="5">
        <f>ABS(Financing!B19)</f>
        <v>0</v>
      </c>
      <c r="C4" s="5">
        <f>ABS(Financing!C19)</f>
        <v>0</v>
      </c>
      <c r="D4" s="5">
        <f>ABS(Financing!D19)</f>
        <v>0</v>
      </c>
    </row>
    <row r="5" spans="1:4" ht="24" customHeight="1">
      <c r="A5" s="1" t="s">
        <v>189</v>
      </c>
      <c r="B5" s="4">
        <f>ABS(Summary!B19-Summary!B18-Financing!B24)</f>
        <v>0</v>
      </c>
      <c r="C5" s="4">
        <f>ABS(Summary!C19-Summary!C18-Financing!C24)</f>
        <v>0</v>
      </c>
      <c r="D5" s="4">
        <f>ABS(Summary!D19-Summary!D18-Financing!D24)</f>
        <v>0</v>
      </c>
    </row>
    <row r="6" spans="1:4" ht="24" customHeight="1">
      <c r="A6" s="1" t="s">
        <v>190</v>
      </c>
      <c r="B6" s="4">
        <f>MAX(MAX('Cash Flow'!B25:Y25),-MIN('Cash Flow'!B25:Y25))</f>
        <v>0</v>
      </c>
      <c r="C6" s="4">
        <f>MAX(MAX('Cash Flow'!B58:Y58),-MIN('Cash Flow'!B58:Y58))</f>
        <v>0</v>
      </c>
      <c r="D6" s="4">
        <f>MAX(MAX('Cash Flow'!B91:Y91),-MIN('Cash Flow'!B91:Y91))</f>
        <v>0</v>
      </c>
    </row>
    <row r="7" spans="1:4" ht="24" customHeight="1">
      <c r="A7" s="1" t="s">
        <v>191</v>
      </c>
      <c r="B7" s="4">
        <f>MAX(MAX('Balance Sheet'!B11:Y11),-MIN('Balance Sheet'!B11:Y11))</f>
        <v>1.0477378964424133E-9</v>
      </c>
      <c r="C7" s="4">
        <f>MAX(MAX('Balance Sheet'!B29:Y29),-MIN('Balance Sheet'!B29:Y29))</f>
        <v>5.1222741603851318E-9</v>
      </c>
      <c r="D7" s="4">
        <f>MAX(MAX('Balance Sheet'!B47:Y47),-MIN('Balance Sheet'!B47:Y47))</f>
        <v>2.514570951461792E-8</v>
      </c>
    </row>
    <row r="8" spans="1:4" ht="24" customHeight="1">
      <c r="A8" s="1" t="s">
        <v>192</v>
      </c>
      <c r="B8" s="4" t="str">
        <f>IF(MAX(B4:B7)&lt;0.01,"PASS","FAIL")</f>
        <v>PASS</v>
      </c>
      <c r="C8" s="4" t="str">
        <f>IF(MAX(C4:C7)&lt;0.01,"PASS","FAIL")</f>
        <v>PASS</v>
      </c>
      <c r="D8" s="4" t="str">
        <f>IF(MAX(D4:D7)&lt;0.01,"PASS","FAIL")</f>
        <v>PASS</v>
      </c>
    </row>
  </sheetData>
  <mergeCells count="1">
    <mergeCell ref="A1:D1"/>
  </mergeCells>
  <phoneticPr fontId="4" type="noConversion"/>
  <printOptions horizontalCentered="1"/>
  <pageMargins left="0.25" right="0.25" top="1" bottom="1" header="0.5" footer="0.5"/>
  <pageSetup paperSize="8" orientation="landscape"/>
  <headerFooter>
    <oddFooter>&amp;CBlocky Studio | 规划预算 |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17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3.5"/>
  <cols>
    <col min="1" max="1" width="10" customWidth="1"/>
    <col min="2" max="2" width="20" customWidth="1"/>
    <col min="3" max="3" width="50" customWidth="1"/>
    <col min="4" max="4" width="53" customWidth="1"/>
    <col min="5" max="5" width="15" customWidth="1"/>
    <col min="6" max="6" width="48" customWidth="1"/>
  </cols>
  <sheetData>
    <row r="1" spans="1:6" ht="32.1" customHeight="1">
      <c r="A1" s="12" t="s">
        <v>193</v>
      </c>
      <c r="B1" s="13"/>
      <c r="C1" s="13"/>
      <c r="D1" s="13"/>
      <c r="E1" s="13"/>
      <c r="F1" s="13"/>
    </row>
    <row r="3" spans="1:6" ht="16.5">
      <c r="A3" s="3" t="s">
        <v>194</v>
      </c>
      <c r="B3" s="3" t="s">
        <v>195</v>
      </c>
      <c r="C3" s="3" t="s">
        <v>196</v>
      </c>
      <c r="D3" s="3" t="s">
        <v>197</v>
      </c>
      <c r="E3" s="3" t="s">
        <v>198</v>
      </c>
      <c r="F3" s="3" t="s">
        <v>199</v>
      </c>
    </row>
    <row r="4" spans="1:6" ht="66" customHeight="1">
      <c r="A4" s="3" t="s">
        <v>200</v>
      </c>
      <c r="B4" s="3" t="s">
        <v>201</v>
      </c>
      <c r="C4" s="3" t="s">
        <v>202</v>
      </c>
      <c r="D4" s="3" t="s">
        <v>203</v>
      </c>
      <c r="E4" s="3" t="s">
        <v>204</v>
      </c>
      <c r="F4" s="3"/>
    </row>
    <row r="5" spans="1:6" ht="66" customHeight="1">
      <c r="A5" s="1" t="s">
        <v>205</v>
      </c>
      <c r="B5" s="1" t="s">
        <v>206</v>
      </c>
      <c r="C5" s="1" t="s">
        <v>207</v>
      </c>
      <c r="D5" s="1" t="s">
        <v>208</v>
      </c>
      <c r="E5" s="1" t="s">
        <v>209</v>
      </c>
      <c r="F5" s="1"/>
    </row>
    <row r="6" spans="1:6" ht="66" customHeight="1">
      <c r="A6" s="1" t="s">
        <v>210</v>
      </c>
      <c r="B6" s="1" t="s">
        <v>211</v>
      </c>
      <c r="C6" s="1" t="s">
        <v>212</v>
      </c>
      <c r="D6" s="1" t="s">
        <v>213</v>
      </c>
      <c r="E6" s="1" t="s">
        <v>209</v>
      </c>
      <c r="F6" s="1"/>
    </row>
    <row r="7" spans="1:6" ht="66" customHeight="1">
      <c r="A7" s="1" t="s">
        <v>214</v>
      </c>
      <c r="B7" s="1" t="s">
        <v>215</v>
      </c>
      <c r="C7" s="1" t="s">
        <v>216</v>
      </c>
      <c r="D7" s="1" t="s">
        <v>217</v>
      </c>
      <c r="E7" s="1" t="s">
        <v>218</v>
      </c>
      <c r="F7" s="1"/>
    </row>
    <row r="8" spans="1:6" ht="66" customHeight="1">
      <c r="A8" s="1" t="s">
        <v>219</v>
      </c>
      <c r="B8" s="1" t="s">
        <v>220</v>
      </c>
      <c r="C8" s="1" t="s">
        <v>221</v>
      </c>
      <c r="D8" s="1" t="s">
        <v>222</v>
      </c>
      <c r="E8" s="1" t="s">
        <v>209</v>
      </c>
      <c r="F8" s="1"/>
    </row>
    <row r="9" spans="1:6" ht="66" customHeight="1">
      <c r="A9" s="1" t="s">
        <v>223</v>
      </c>
      <c r="B9" s="1" t="s">
        <v>224</v>
      </c>
      <c r="C9" s="1" t="s">
        <v>225</v>
      </c>
      <c r="D9" s="1" t="s">
        <v>226</v>
      </c>
      <c r="E9" s="1" t="s">
        <v>209</v>
      </c>
      <c r="F9" s="1"/>
    </row>
    <row r="10" spans="1:6" ht="66" customHeight="1">
      <c r="A10" s="1" t="s">
        <v>227</v>
      </c>
      <c r="B10" s="1" t="s">
        <v>228</v>
      </c>
      <c r="C10" s="1" t="s">
        <v>229</v>
      </c>
      <c r="D10" s="1" t="s">
        <v>230</v>
      </c>
      <c r="E10" s="1" t="s">
        <v>209</v>
      </c>
      <c r="F10" s="1"/>
    </row>
    <row r="11" spans="1:6" ht="66" customHeight="1">
      <c r="A11" s="1" t="s">
        <v>231</v>
      </c>
      <c r="B11" s="1" t="s">
        <v>232</v>
      </c>
      <c r="C11" s="1" t="s">
        <v>233</v>
      </c>
      <c r="D11" s="1" t="s">
        <v>234</v>
      </c>
      <c r="E11" s="1" t="s">
        <v>209</v>
      </c>
      <c r="F11" s="1"/>
    </row>
    <row r="12" spans="1:6" ht="66" customHeight="1">
      <c r="A12" s="1" t="s">
        <v>235</v>
      </c>
      <c r="B12" s="1" t="s">
        <v>236</v>
      </c>
      <c r="C12" s="1" t="s">
        <v>237</v>
      </c>
      <c r="D12" s="1" t="s">
        <v>238</v>
      </c>
      <c r="E12" s="1" t="s">
        <v>239</v>
      </c>
      <c r="F12" s="1" t="s">
        <v>240</v>
      </c>
    </row>
    <row r="13" spans="1:6" ht="66" customHeight="1">
      <c r="A13" s="1" t="s">
        <v>241</v>
      </c>
      <c r="B13" s="1" t="s">
        <v>242</v>
      </c>
      <c r="C13" s="1" t="s">
        <v>243</v>
      </c>
      <c r="D13" s="1" t="s">
        <v>238</v>
      </c>
      <c r="E13" s="1" t="s">
        <v>239</v>
      </c>
      <c r="F13" s="1"/>
    </row>
    <row r="14" spans="1:6" ht="66" customHeight="1">
      <c r="A14" s="1" t="s">
        <v>244</v>
      </c>
      <c r="B14" s="1" t="s">
        <v>245</v>
      </c>
      <c r="C14" s="1" t="s">
        <v>246</v>
      </c>
      <c r="D14" s="1" t="s">
        <v>238</v>
      </c>
      <c r="E14" s="1" t="s">
        <v>239</v>
      </c>
      <c r="F14" s="1" t="s">
        <v>247</v>
      </c>
    </row>
    <row r="15" spans="1:6" ht="66" customHeight="1">
      <c r="A15" s="1" t="s">
        <v>248</v>
      </c>
      <c r="B15" s="1" t="s">
        <v>249</v>
      </c>
      <c r="C15" s="1" t="s">
        <v>250</v>
      </c>
      <c r="D15" s="1" t="s">
        <v>238</v>
      </c>
      <c r="E15" s="1" t="s">
        <v>239</v>
      </c>
      <c r="F15" s="1" t="s">
        <v>251</v>
      </c>
    </row>
    <row r="16" spans="1:6" ht="66" customHeight="1">
      <c r="A16" s="3" t="s">
        <v>252</v>
      </c>
      <c r="B16" s="3" t="s">
        <v>253</v>
      </c>
      <c r="C16" s="3" t="s">
        <v>254</v>
      </c>
      <c r="D16" s="3" t="s">
        <v>238</v>
      </c>
      <c r="E16" s="3" t="s">
        <v>239</v>
      </c>
      <c r="F16" s="3" t="s">
        <v>255</v>
      </c>
    </row>
    <row r="17" spans="1:6" ht="66" customHeight="1">
      <c r="A17" s="1" t="s">
        <v>256</v>
      </c>
      <c r="B17" s="1" t="s">
        <v>257</v>
      </c>
      <c r="C17" s="1" t="s">
        <v>258</v>
      </c>
      <c r="D17" s="1" t="s">
        <v>238</v>
      </c>
      <c r="E17" s="1" t="s">
        <v>239</v>
      </c>
      <c r="F17" s="1" t="s">
        <v>259</v>
      </c>
    </row>
  </sheetData>
  <mergeCells count="1">
    <mergeCell ref="A1:F1"/>
  </mergeCells>
  <phoneticPr fontId="4" type="noConversion"/>
  <printOptions horizontalCentered="1"/>
  <pageMargins left="0.25" right="0.25" top="1" bottom="1" header="0.5" footer="0.5"/>
  <pageSetup paperSize="8" orientation="portrait"/>
  <headerFooter>
    <oddFooter>&amp;CBlocky Studio | 规划预算 |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24</vt:i4>
      </vt:variant>
    </vt:vector>
  </HeadingPairs>
  <TitlesOfParts>
    <vt:vector size="36" baseType="lpstr">
      <vt:lpstr>Summary</vt:lpstr>
      <vt:lpstr>Assumptions</vt:lpstr>
      <vt:lpstr>Usage</vt:lpstr>
      <vt:lpstr>Cohorts</vt:lpstr>
      <vt:lpstr>Costs</vt:lpstr>
      <vt:lpstr>Revenue</vt:lpstr>
      <vt:lpstr>Income Statement</vt:lpstr>
      <vt:lpstr>Balance Sheet</vt:lpstr>
      <vt:lpstr>Cash Flow</vt:lpstr>
      <vt:lpstr>Financing</vt:lpstr>
      <vt:lpstr>Checks</vt:lpstr>
      <vt:lpstr>Sources</vt:lpstr>
      <vt:lpstr>Assumptions!Print_Area</vt:lpstr>
      <vt:lpstr>'Balance Sheet'!Print_Area</vt:lpstr>
      <vt:lpstr>'Cash Flow'!Print_Area</vt:lpstr>
      <vt:lpstr>Checks!Print_Area</vt:lpstr>
      <vt:lpstr>Cohorts!Print_Area</vt:lpstr>
      <vt:lpstr>Costs!Print_Area</vt:lpstr>
      <vt:lpstr>Financing!Print_Area</vt:lpstr>
      <vt:lpstr>'Income Statement'!Print_Area</vt:lpstr>
      <vt:lpstr>Revenue!Print_Area</vt:lpstr>
      <vt:lpstr>Sources!Print_Area</vt:lpstr>
      <vt:lpstr>Summary!Print_Area</vt:lpstr>
      <vt:lpstr>Usage!Print_Area</vt:lpstr>
      <vt:lpstr>Assumptions!Print_Titles</vt:lpstr>
      <vt:lpstr>'Balance Sheet'!Print_Titles</vt:lpstr>
      <vt:lpstr>'Cash Flow'!Print_Titles</vt:lpstr>
      <vt:lpstr>Checks!Print_Titles</vt:lpstr>
      <vt:lpstr>Cohorts!Print_Titles</vt:lpstr>
      <vt:lpstr>Costs!Print_Titles</vt:lpstr>
      <vt:lpstr>Financing!Print_Titles</vt:lpstr>
      <vt:lpstr>'Income Statement'!Print_Titles</vt:lpstr>
      <vt:lpstr>Revenue!Print_Titles</vt:lpstr>
      <vt:lpstr>Sources!Print_Titles</vt:lpstr>
      <vt:lpstr>Summary!Print_Titles</vt:lpstr>
      <vt:lpstr>Usage!Print_Titles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Blocky Studio 24个月持续发展资金规划</dc:title>
  <dc:creator>Blocky Studio</dc:creator>
  <cp:lastModifiedBy>Blocky Studio</cp:lastModifiedBy>
  <dcterms:created xsi:type="dcterms:W3CDTF">2026-10-03T11:25:56Z</dcterms:created>
  <dcterms:modified xsi:type="dcterms:W3CDTF">2026-10-03T11:25:56Z</dcterms:modified>
</cp:coreProperties>
</file>