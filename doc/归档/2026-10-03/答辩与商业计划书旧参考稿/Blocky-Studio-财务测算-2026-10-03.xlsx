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1Folder\Blocky-AI\doc\交付\2026-10-03-答辩与商业计划书\"/>
    </mc:Choice>
  </mc:AlternateContent>
  <xr:revisionPtr revIDLastSave="0" documentId="13_ncr:1_{907EDC5C-800C-42F2-9600-168AB58A79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Assumptions" sheetId="2" r:id="rId2"/>
    <sheet name="Revenue" sheetId="3" r:id="rId3"/>
    <sheet name="Costs" sheetId="4" r:id="rId4"/>
    <sheet name="Income Statement" sheetId="5" r:id="rId5"/>
    <sheet name="Balance Sheet" sheetId="6" r:id="rId6"/>
    <sheet name="Cash Flow" sheetId="7" r:id="rId7"/>
    <sheet name="Financing" sheetId="8" r:id="rId8"/>
    <sheet name="Checks" sheetId="9" r:id="rId9"/>
    <sheet name="Sources" sheetId="10" r:id="rId10"/>
  </sheets>
  <definedNames>
    <definedName name="_xlnm.Print_Area" localSheetId="1">Assumptions!$C$2:$I$37</definedName>
    <definedName name="_xlnm.Print_Area" localSheetId="5">'Balance Sheet'!$C$2:$L$21</definedName>
    <definedName name="_xlnm.Print_Area" localSheetId="6">'Cash Flow'!$C$6:$AM$16,'Cash Flow'!$C$30:$AM$40,'Cash Flow'!$C$54:$AM$64</definedName>
    <definedName name="_xlnm.Print_Area" localSheetId="8">Checks!$C$2:$F$15</definedName>
    <definedName name="_xlnm.Print_Area" localSheetId="3">Costs!$C$6:$AM$22,Costs!$C$30:$AM$46,Costs!$C$54:$AM$70</definedName>
    <definedName name="_xlnm.Print_Area" localSheetId="7">Financing!$C$2:$F$17</definedName>
    <definedName name="_xlnm.Print_Area" localSheetId="4">'Income Statement'!$C$2:$L$16</definedName>
    <definedName name="_xlnm.Print_Area" localSheetId="2">Revenue!$C$6:$AM$16,Revenue!$C$24:$AM$34,Revenue!$C$42:$AM$52</definedName>
    <definedName name="_xlnm.Print_Area" localSheetId="9">Sources!$C$2:$G$10</definedName>
    <definedName name="_xlnm.Print_Area" localSheetId="0">Summary!$C$2:$L$23</definedName>
    <definedName name="_xlnm.Print_Titles" localSheetId="1">Assumptions!$1:$8</definedName>
    <definedName name="_xlnm.Print_Titles" localSheetId="5">'Balance Sheet'!$1:$3</definedName>
    <definedName name="_xlnm.Print_Titles" localSheetId="6">'Cash Flow'!$C:$C,'Cash Flow'!$1:$3</definedName>
    <definedName name="_xlnm.Print_Titles" localSheetId="8">Checks!$1:$3</definedName>
    <definedName name="_xlnm.Print_Titles" localSheetId="3">Costs!$C:$C,Costs!$1:$3</definedName>
    <definedName name="_xlnm.Print_Titles" localSheetId="7">Financing!$1:$3</definedName>
    <definedName name="_xlnm.Print_Titles" localSheetId="4">'Income Statement'!$1:$3</definedName>
    <definedName name="_xlnm.Print_Titles" localSheetId="2">Revenue!$C:$C,Revenue!$1:$3</definedName>
    <definedName name="_xlnm.Print_Titles" localSheetId="9">Sources!$1:$3</definedName>
    <definedName name="_xlnm.Print_Titles" localSheetId="0">Summary!$1:$3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9" l="1"/>
  <c r="E14" i="9"/>
  <c r="D14" i="9"/>
  <c r="F11" i="9"/>
  <c r="E11" i="9"/>
  <c r="D11" i="9"/>
  <c r="F9" i="8"/>
  <c r="E9" i="8"/>
  <c r="D9" i="8"/>
  <c r="F6" i="8"/>
  <c r="E6" i="8"/>
  <c r="D6" i="8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L16" i="6"/>
  <c r="K16" i="6"/>
  <c r="J16" i="6"/>
  <c r="I16" i="6"/>
  <c r="H16" i="6"/>
  <c r="G16" i="6"/>
  <c r="F16" i="6"/>
  <c r="E16" i="6"/>
  <c r="D16" i="6"/>
  <c r="L15" i="6"/>
  <c r="K15" i="6"/>
  <c r="J15" i="6"/>
  <c r="I15" i="6"/>
  <c r="H15" i="6"/>
  <c r="G15" i="6"/>
  <c r="F15" i="6"/>
  <c r="E15" i="6"/>
  <c r="D15" i="6"/>
  <c r="L10" i="6"/>
  <c r="K10" i="6"/>
  <c r="J10" i="6"/>
  <c r="I10" i="6"/>
  <c r="H10" i="6"/>
  <c r="G10" i="6"/>
  <c r="F10" i="6"/>
  <c r="E10" i="6"/>
  <c r="D10" i="6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AM63" i="4"/>
  <c r="AM58" i="7" s="1"/>
  <c r="AL63" i="4"/>
  <c r="AL58" i="7" s="1"/>
  <c r="AK63" i="4"/>
  <c r="AK58" i="7" s="1"/>
  <c r="AJ63" i="4"/>
  <c r="AJ58" i="7" s="1"/>
  <c r="AI63" i="4"/>
  <c r="AI58" i="7" s="1"/>
  <c r="AH63" i="4"/>
  <c r="AH58" i="7" s="1"/>
  <c r="AG63" i="4"/>
  <c r="AG58" i="7" s="1"/>
  <c r="AF63" i="4"/>
  <c r="AF58" i="7" s="1"/>
  <c r="AE63" i="4"/>
  <c r="AE58" i="7" s="1"/>
  <c r="AD63" i="4"/>
  <c r="AD58" i="7" s="1"/>
  <c r="AC63" i="4"/>
  <c r="AC58" i="7" s="1"/>
  <c r="AB63" i="4"/>
  <c r="AB58" i="7" s="1"/>
  <c r="AA63" i="4"/>
  <c r="AA58" i="7" s="1"/>
  <c r="Z63" i="4"/>
  <c r="Z58" i="7" s="1"/>
  <c r="Y63" i="4"/>
  <c r="Y58" i="7" s="1"/>
  <c r="X63" i="4"/>
  <c r="X58" i="7" s="1"/>
  <c r="W63" i="4"/>
  <c r="W58" i="7" s="1"/>
  <c r="V63" i="4"/>
  <c r="V58" i="7" s="1"/>
  <c r="U63" i="4"/>
  <c r="U58" i="7" s="1"/>
  <c r="T63" i="4"/>
  <c r="T58" i="7" s="1"/>
  <c r="S63" i="4"/>
  <c r="S58" i="7" s="1"/>
  <c r="R63" i="4"/>
  <c r="R58" i="7" s="1"/>
  <c r="Q63" i="4"/>
  <c r="Q58" i="7" s="1"/>
  <c r="P63" i="4"/>
  <c r="P58" i="7" s="1"/>
  <c r="O63" i="4"/>
  <c r="O58" i="7" s="1"/>
  <c r="N63" i="4"/>
  <c r="N58" i="7" s="1"/>
  <c r="M63" i="4"/>
  <c r="M58" i="7" s="1"/>
  <c r="L63" i="4"/>
  <c r="L58" i="7" s="1"/>
  <c r="K63" i="4"/>
  <c r="K58" i="7" s="1"/>
  <c r="J63" i="4"/>
  <c r="J58" i="7" s="1"/>
  <c r="I63" i="4"/>
  <c r="I58" i="7" s="1"/>
  <c r="H63" i="4"/>
  <c r="H58" i="7" s="1"/>
  <c r="G63" i="4"/>
  <c r="G58" i="7" s="1"/>
  <c r="F63" i="4"/>
  <c r="F58" i="7" s="1"/>
  <c r="E63" i="4"/>
  <c r="E58" i="7" s="1"/>
  <c r="D63" i="4"/>
  <c r="D58" i="7" s="1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J12" i="5" s="1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M39" i="4"/>
  <c r="AM34" i="7" s="1"/>
  <c r="AL39" i="4"/>
  <c r="AL34" i="7" s="1"/>
  <c r="AK39" i="4"/>
  <c r="AK34" i="7" s="1"/>
  <c r="AJ39" i="4"/>
  <c r="AJ34" i="7" s="1"/>
  <c r="AI39" i="4"/>
  <c r="AI34" i="7" s="1"/>
  <c r="AH39" i="4"/>
  <c r="AH34" i="7" s="1"/>
  <c r="AG39" i="4"/>
  <c r="AG34" i="7" s="1"/>
  <c r="AF39" i="4"/>
  <c r="AF34" i="7" s="1"/>
  <c r="AE39" i="4"/>
  <c r="AE34" i="7" s="1"/>
  <c r="AD39" i="4"/>
  <c r="AD34" i="7" s="1"/>
  <c r="AC39" i="4"/>
  <c r="AC34" i="7" s="1"/>
  <c r="AB39" i="4"/>
  <c r="AB34" i="7" s="1"/>
  <c r="AA39" i="4"/>
  <c r="AA34" i="7" s="1"/>
  <c r="Z39" i="4"/>
  <c r="Z34" i="7" s="1"/>
  <c r="Y39" i="4"/>
  <c r="Y34" i="7" s="1"/>
  <c r="X39" i="4"/>
  <c r="X34" i="7" s="1"/>
  <c r="W39" i="4"/>
  <c r="W34" i="7" s="1"/>
  <c r="V39" i="4"/>
  <c r="V34" i="7" s="1"/>
  <c r="U39" i="4"/>
  <c r="U34" i="7" s="1"/>
  <c r="T39" i="4"/>
  <c r="T34" i="7" s="1"/>
  <c r="S39" i="4"/>
  <c r="S34" i="7" s="1"/>
  <c r="R39" i="4"/>
  <c r="R34" i="7" s="1"/>
  <c r="Q39" i="4"/>
  <c r="Q34" i="7" s="1"/>
  <c r="P39" i="4"/>
  <c r="P34" i="7" s="1"/>
  <c r="O39" i="4"/>
  <c r="O34" i="7" s="1"/>
  <c r="N39" i="4"/>
  <c r="N34" i="7" s="1"/>
  <c r="M39" i="4"/>
  <c r="M34" i="7" s="1"/>
  <c r="L39" i="4"/>
  <c r="L34" i="7" s="1"/>
  <c r="K39" i="4"/>
  <c r="K34" i="7" s="1"/>
  <c r="J39" i="4"/>
  <c r="J34" i="7" s="1"/>
  <c r="I39" i="4"/>
  <c r="I34" i="7" s="1"/>
  <c r="H39" i="4"/>
  <c r="H34" i="7" s="1"/>
  <c r="G39" i="4"/>
  <c r="G34" i="7" s="1"/>
  <c r="F39" i="4"/>
  <c r="F34" i="7" s="1"/>
  <c r="E39" i="4"/>
  <c r="E34" i="7" s="1"/>
  <c r="D39" i="4"/>
  <c r="D34" i="7" s="1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M15" i="4"/>
  <c r="AM10" i="7" s="1"/>
  <c r="AL15" i="4"/>
  <c r="AL10" i="7" s="1"/>
  <c r="AK15" i="4"/>
  <c r="AK10" i="7" s="1"/>
  <c r="AJ15" i="4"/>
  <c r="AJ10" i="7" s="1"/>
  <c r="AI15" i="4"/>
  <c r="AI10" i="7" s="1"/>
  <c r="AH15" i="4"/>
  <c r="AH10" i="7" s="1"/>
  <c r="AG15" i="4"/>
  <c r="AG10" i="7" s="1"/>
  <c r="AF15" i="4"/>
  <c r="AF10" i="7" s="1"/>
  <c r="AE15" i="4"/>
  <c r="AE10" i="7" s="1"/>
  <c r="AD15" i="4"/>
  <c r="AD10" i="7" s="1"/>
  <c r="AC15" i="4"/>
  <c r="AC10" i="7" s="1"/>
  <c r="AB15" i="4"/>
  <c r="AB10" i="7" s="1"/>
  <c r="AA15" i="4"/>
  <c r="AA10" i="7" s="1"/>
  <c r="Z15" i="4"/>
  <c r="Z10" i="7" s="1"/>
  <c r="Y15" i="4"/>
  <c r="Y10" i="7" s="1"/>
  <c r="X15" i="4"/>
  <c r="X10" i="7" s="1"/>
  <c r="W15" i="4"/>
  <c r="W10" i="7" s="1"/>
  <c r="V15" i="4"/>
  <c r="V10" i="7" s="1"/>
  <c r="U15" i="4"/>
  <c r="U10" i="7" s="1"/>
  <c r="T15" i="4"/>
  <c r="T10" i="7" s="1"/>
  <c r="S15" i="4"/>
  <c r="S10" i="7" s="1"/>
  <c r="R15" i="4"/>
  <c r="R10" i="7" s="1"/>
  <c r="Q15" i="4"/>
  <c r="Q10" i="7" s="1"/>
  <c r="P15" i="4"/>
  <c r="P10" i="7" s="1"/>
  <c r="O15" i="4"/>
  <c r="O10" i="7" s="1"/>
  <c r="N15" i="4"/>
  <c r="N10" i="7" s="1"/>
  <c r="M15" i="4"/>
  <c r="M10" i="7" s="1"/>
  <c r="L15" i="4"/>
  <c r="L10" i="7" s="1"/>
  <c r="K15" i="4"/>
  <c r="K10" i="7" s="1"/>
  <c r="J15" i="4"/>
  <c r="J10" i="7" s="1"/>
  <c r="I15" i="4"/>
  <c r="I10" i="7" s="1"/>
  <c r="H15" i="4"/>
  <c r="H10" i="7" s="1"/>
  <c r="G15" i="4"/>
  <c r="G10" i="7" s="1"/>
  <c r="F15" i="4"/>
  <c r="F10" i="7" s="1"/>
  <c r="E15" i="4"/>
  <c r="E10" i="7" s="1"/>
  <c r="D15" i="4"/>
  <c r="D10" i="7" s="1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E11" i="5" s="1"/>
  <c r="O12" i="4"/>
  <c r="N12" i="4"/>
  <c r="M12" i="4"/>
  <c r="L12" i="4"/>
  <c r="K12" i="4"/>
  <c r="J12" i="4"/>
  <c r="I12" i="4"/>
  <c r="H12" i="4"/>
  <c r="G12" i="4"/>
  <c r="F12" i="4"/>
  <c r="E12" i="4"/>
  <c r="D12" i="4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H13" i="1"/>
  <c r="G13" i="1" l="1"/>
  <c r="F13" i="1"/>
  <c r="K12" i="5"/>
  <c r="F12" i="5"/>
  <c r="H12" i="5"/>
  <c r="I11" i="5"/>
  <c r="I12" i="5"/>
  <c r="G12" i="5"/>
  <c r="E13" i="1"/>
  <c r="D11" i="5"/>
  <c r="E12" i="5"/>
  <c r="H11" i="5"/>
  <c r="D13" i="1"/>
  <c r="L12" i="5"/>
  <c r="E14" i="5"/>
  <c r="K14" i="5"/>
  <c r="L11" i="5"/>
  <c r="I13" i="1"/>
  <c r="D12" i="5"/>
  <c r="H14" i="5"/>
  <c r="K11" i="5"/>
  <c r="J11" i="5"/>
  <c r="F14" i="5"/>
  <c r="I14" i="5"/>
  <c r="L14" i="5"/>
  <c r="G11" i="5"/>
  <c r="F11" i="5"/>
  <c r="AM10" i="4"/>
  <c r="AM7" i="4"/>
  <c r="AL10" i="4"/>
  <c r="AL7" i="4"/>
  <c r="AK10" i="4"/>
  <c r="AK7" i="4"/>
  <c r="AJ10" i="4"/>
  <c r="AJ7" i="4"/>
  <c r="AI10" i="4"/>
  <c r="AI7" i="4"/>
  <c r="AH10" i="4"/>
  <c r="AH7" i="4"/>
  <c r="AG10" i="4"/>
  <c r="AG7" i="4"/>
  <c r="AF10" i="4"/>
  <c r="AF7" i="4"/>
  <c r="AE10" i="4"/>
  <c r="AE7" i="4"/>
  <c r="AD10" i="4"/>
  <c r="AD7" i="4"/>
  <c r="AC10" i="4"/>
  <c r="AC7" i="4"/>
  <c r="AB10" i="4"/>
  <c r="AB7" i="4"/>
  <c r="AA10" i="4"/>
  <c r="AA7" i="4"/>
  <c r="Z10" i="4"/>
  <c r="Z7" i="4"/>
  <c r="Y10" i="4"/>
  <c r="Y7" i="4"/>
  <c r="X10" i="4"/>
  <c r="X7" i="4"/>
  <c r="W10" i="4"/>
  <c r="W7" i="4"/>
  <c r="V10" i="4"/>
  <c r="V7" i="4"/>
  <c r="U10" i="4"/>
  <c r="U7" i="4"/>
  <c r="T10" i="4"/>
  <c r="T7" i="4"/>
  <c r="S10" i="4"/>
  <c r="S7" i="4"/>
  <c r="R10" i="4"/>
  <c r="R7" i="4"/>
  <c r="Q10" i="4"/>
  <c r="Q7" i="4"/>
  <c r="P10" i="4"/>
  <c r="P7" i="4"/>
  <c r="O10" i="4"/>
  <c r="O7" i="4"/>
  <c r="N10" i="4"/>
  <c r="N7" i="4"/>
  <c r="M10" i="4"/>
  <c r="M7" i="4"/>
  <c r="L10" i="4"/>
  <c r="L7" i="4"/>
  <c r="K10" i="4"/>
  <c r="K7" i="4"/>
  <c r="J10" i="4"/>
  <c r="J7" i="4"/>
  <c r="I10" i="4"/>
  <c r="I7" i="4"/>
  <c r="H10" i="4"/>
  <c r="H7" i="4"/>
  <c r="G10" i="4"/>
  <c r="G7" i="4"/>
  <c r="F10" i="4"/>
  <c r="F7" i="4"/>
  <c r="E10" i="4"/>
  <c r="E7" i="4"/>
  <c r="D12" i="9"/>
  <c r="D10" i="4"/>
  <c r="D7" i="4"/>
  <c r="J11" i="6"/>
  <c r="J12" i="6" s="1"/>
  <c r="K11" i="6"/>
  <c r="K12" i="6" s="1"/>
  <c r="J14" i="5"/>
  <c r="L11" i="6"/>
  <c r="L12" i="6" s="1"/>
  <c r="AM34" i="3"/>
  <c r="AM30" i="3"/>
  <c r="AL34" i="3"/>
  <c r="AL30" i="3"/>
  <c r="AK34" i="3"/>
  <c r="AK30" i="3"/>
  <c r="AJ30" i="3"/>
  <c r="AJ34" i="3"/>
  <c r="AI34" i="3"/>
  <c r="AI30" i="3"/>
  <c r="AH34" i="3"/>
  <c r="AH30" i="3"/>
  <c r="AG30" i="3"/>
  <c r="AG34" i="3"/>
  <c r="AF30" i="3"/>
  <c r="AF34" i="3"/>
  <c r="AE34" i="3"/>
  <c r="AE30" i="3"/>
  <c r="AD34" i="3"/>
  <c r="AD30" i="3"/>
  <c r="AC34" i="3"/>
  <c r="AC30" i="3"/>
  <c r="AB34" i="3"/>
  <c r="AB30" i="3"/>
  <c r="AB31" i="3" s="1"/>
  <c r="AA34" i="3"/>
  <c r="AA30" i="3"/>
  <c r="Z34" i="3"/>
  <c r="Z30" i="3"/>
  <c r="Y34" i="3"/>
  <c r="Y30" i="3"/>
  <c r="X34" i="3"/>
  <c r="X30" i="3"/>
  <c r="W34" i="3"/>
  <c r="W30" i="3"/>
  <c r="V34" i="3"/>
  <c r="V30" i="3"/>
  <c r="U30" i="3"/>
  <c r="U34" i="3"/>
  <c r="T30" i="3"/>
  <c r="T34" i="3"/>
  <c r="S30" i="3"/>
  <c r="S34" i="3"/>
  <c r="R30" i="3"/>
  <c r="R34" i="3"/>
  <c r="Q34" i="3"/>
  <c r="Q30" i="3"/>
  <c r="P34" i="3"/>
  <c r="P30" i="3"/>
  <c r="P31" i="3" s="1"/>
  <c r="O34" i="3"/>
  <c r="O30" i="3"/>
  <c r="N34" i="3"/>
  <c r="N30" i="3"/>
  <c r="M34" i="3"/>
  <c r="M30" i="3"/>
  <c r="L34" i="3"/>
  <c r="L30" i="3"/>
  <c r="K34" i="3"/>
  <c r="K30" i="3"/>
  <c r="J34" i="3"/>
  <c r="J30" i="3"/>
  <c r="I34" i="3"/>
  <c r="I30" i="3"/>
  <c r="H34" i="3"/>
  <c r="H30" i="3"/>
  <c r="G34" i="3"/>
  <c r="G30" i="3"/>
  <c r="F34" i="3"/>
  <c r="F30" i="3"/>
  <c r="E34" i="3"/>
  <c r="E30" i="3"/>
  <c r="E12" i="9"/>
  <c r="D34" i="3"/>
  <c r="D30" i="3"/>
  <c r="H11" i="6"/>
  <c r="H12" i="6" s="1"/>
  <c r="I11" i="6"/>
  <c r="I12" i="6" s="1"/>
  <c r="G11" i="6"/>
  <c r="G12" i="6" s="1"/>
  <c r="G14" i="5"/>
  <c r="D14" i="5"/>
  <c r="D11" i="6"/>
  <c r="D12" i="6" s="1"/>
  <c r="F11" i="6"/>
  <c r="F12" i="6" s="1"/>
  <c r="E11" i="6"/>
  <c r="E12" i="6" s="1"/>
  <c r="AM48" i="3"/>
  <c r="AM52" i="3"/>
  <c r="AM58" i="4"/>
  <c r="AM55" i="4"/>
  <c r="AM45" i="3"/>
  <c r="AL48" i="3"/>
  <c r="AL45" i="3"/>
  <c r="AL52" i="3"/>
  <c r="AL55" i="4"/>
  <c r="AL58" i="4"/>
  <c r="AK48" i="3"/>
  <c r="AK52" i="3"/>
  <c r="AK55" i="4"/>
  <c r="AK45" i="3"/>
  <c r="AK58" i="4"/>
  <c r="AJ45" i="3"/>
  <c r="AJ48" i="3"/>
  <c r="AJ52" i="3"/>
  <c r="AJ55" i="4"/>
  <c r="AJ58" i="4"/>
  <c r="AI52" i="3"/>
  <c r="AI48" i="3"/>
  <c r="AI55" i="4"/>
  <c r="AI45" i="3"/>
  <c r="AI58" i="4"/>
  <c r="AH48" i="3"/>
  <c r="AH45" i="3"/>
  <c r="AH55" i="4"/>
  <c r="AH52" i="3"/>
  <c r="AH58" i="4"/>
  <c r="AG45" i="3"/>
  <c r="AG52" i="3"/>
  <c r="AG55" i="4"/>
  <c r="AG48" i="3"/>
  <c r="AG58" i="4"/>
  <c r="AF55" i="4"/>
  <c r="AF52" i="3"/>
  <c r="AF58" i="4"/>
  <c r="AF48" i="3"/>
  <c r="AF45" i="3"/>
  <c r="AE45" i="3"/>
  <c r="AE48" i="3"/>
  <c r="AE55" i="4"/>
  <c r="AE58" i="4"/>
  <c r="AE52" i="3"/>
  <c r="AD58" i="4"/>
  <c r="AD48" i="3"/>
  <c r="AD55" i="4"/>
  <c r="AD52" i="3"/>
  <c r="AD45" i="3"/>
  <c r="AC45" i="3"/>
  <c r="AC58" i="4"/>
  <c r="AC52" i="3"/>
  <c r="AC48" i="3"/>
  <c r="AC55" i="4"/>
  <c r="AB52" i="3"/>
  <c r="L13" i="1"/>
  <c r="AB58" i="4"/>
  <c r="AB55" i="4"/>
  <c r="AB48" i="3"/>
  <c r="AB45" i="3"/>
  <c r="AA48" i="3"/>
  <c r="AA55" i="4"/>
  <c r="AA58" i="4"/>
  <c r="AA52" i="3"/>
  <c r="AA45" i="3"/>
  <c r="Z48" i="3"/>
  <c r="Z52" i="3"/>
  <c r="Z58" i="4"/>
  <c r="Z55" i="4"/>
  <c r="Z45" i="3"/>
  <c r="Y48" i="3"/>
  <c r="Y55" i="4"/>
  <c r="Y45" i="3"/>
  <c r="Y52" i="3"/>
  <c r="Y58" i="4"/>
  <c r="X52" i="3"/>
  <c r="X48" i="3"/>
  <c r="X45" i="3"/>
  <c r="X58" i="4"/>
  <c r="X55" i="4"/>
  <c r="W55" i="4"/>
  <c r="W45" i="3"/>
  <c r="W48" i="3"/>
  <c r="W58" i="4"/>
  <c r="W52" i="3"/>
  <c r="V45" i="3"/>
  <c r="V55" i="4"/>
  <c r="V58" i="4"/>
  <c r="V48" i="3"/>
  <c r="V52" i="3"/>
  <c r="U58" i="4"/>
  <c r="U45" i="3"/>
  <c r="U52" i="3"/>
  <c r="U55" i="4"/>
  <c r="U48" i="3"/>
  <c r="T48" i="3"/>
  <c r="T58" i="4"/>
  <c r="T45" i="3"/>
  <c r="T52" i="3"/>
  <c r="T55" i="4"/>
  <c r="S48" i="3"/>
  <c r="S52" i="3"/>
  <c r="S55" i="4"/>
  <c r="S45" i="3"/>
  <c r="S58" i="4"/>
  <c r="R58" i="4"/>
  <c r="R55" i="4"/>
  <c r="R48" i="3"/>
  <c r="R52" i="3"/>
  <c r="R45" i="3"/>
  <c r="Q55" i="4"/>
  <c r="Q58" i="4"/>
  <c r="Q48" i="3"/>
  <c r="Q52" i="3"/>
  <c r="Q45" i="3"/>
  <c r="P58" i="4"/>
  <c r="P45" i="3"/>
  <c r="P52" i="3"/>
  <c r="P55" i="4"/>
  <c r="P48" i="3"/>
  <c r="K13" i="1"/>
  <c r="O48" i="3"/>
  <c r="O52" i="3"/>
  <c r="O58" i="4"/>
  <c r="O45" i="3"/>
  <c r="O55" i="4"/>
  <c r="N58" i="4"/>
  <c r="N48" i="3"/>
  <c r="N52" i="3"/>
  <c r="N45" i="3"/>
  <c r="N55" i="4"/>
  <c r="M55" i="4"/>
  <c r="M52" i="3"/>
  <c r="M48" i="3"/>
  <c r="M45" i="3"/>
  <c r="M58" i="4"/>
  <c r="L52" i="3"/>
  <c r="L55" i="4"/>
  <c r="L48" i="3"/>
  <c r="L45" i="3"/>
  <c r="L58" i="4"/>
  <c r="K48" i="3"/>
  <c r="K45" i="3"/>
  <c r="K52" i="3"/>
  <c r="K55" i="4"/>
  <c r="K58" i="4"/>
  <c r="J55" i="4"/>
  <c r="J58" i="4"/>
  <c r="J52" i="3"/>
  <c r="J48" i="3"/>
  <c r="J45" i="3"/>
  <c r="I45" i="3"/>
  <c r="I48" i="3"/>
  <c r="I52" i="3"/>
  <c r="I58" i="4"/>
  <c r="I55" i="4"/>
  <c r="H45" i="3"/>
  <c r="H58" i="4"/>
  <c r="H55" i="4"/>
  <c r="H48" i="3"/>
  <c r="H52" i="3"/>
  <c r="G52" i="3"/>
  <c r="G48" i="3"/>
  <c r="G58" i="4"/>
  <c r="G45" i="3"/>
  <c r="G55" i="4"/>
  <c r="F58" i="4"/>
  <c r="F45" i="3"/>
  <c r="F48" i="3"/>
  <c r="F55" i="4"/>
  <c r="F52" i="3"/>
  <c r="E48" i="3"/>
  <c r="E58" i="4"/>
  <c r="E45" i="3"/>
  <c r="E52" i="3"/>
  <c r="E55" i="4"/>
  <c r="D48" i="3"/>
  <c r="D45" i="3"/>
  <c r="D52" i="3"/>
  <c r="F12" i="9"/>
  <c r="D58" i="4"/>
  <c r="J13" i="1"/>
  <c r="D55" i="4"/>
  <c r="AM27" i="3"/>
  <c r="AM34" i="4"/>
  <c r="AM31" i="4"/>
  <c r="AL27" i="3"/>
  <c r="AL34" i="4"/>
  <c r="AL31" i="4"/>
  <c r="AK27" i="3"/>
  <c r="AK34" i="4"/>
  <c r="AK31" i="4"/>
  <c r="AJ34" i="4"/>
  <c r="AJ27" i="3"/>
  <c r="AJ31" i="4"/>
  <c r="AI34" i="4"/>
  <c r="AI31" i="4"/>
  <c r="AI27" i="3"/>
  <c r="AH31" i="4"/>
  <c r="AH27" i="3"/>
  <c r="AH34" i="4"/>
  <c r="AG31" i="4"/>
  <c r="AG34" i="4"/>
  <c r="AG27" i="3"/>
  <c r="AF27" i="3"/>
  <c r="AF31" i="4"/>
  <c r="AF34" i="4"/>
  <c r="AE31" i="4"/>
  <c r="AE27" i="3"/>
  <c r="AE34" i="4"/>
  <c r="AD31" i="4"/>
  <c r="AD27" i="3"/>
  <c r="AD34" i="4"/>
  <c r="AC31" i="4"/>
  <c r="AC34" i="4"/>
  <c r="AC27" i="3"/>
  <c r="AB31" i="4"/>
  <c r="AB27" i="3"/>
  <c r="AB34" i="4"/>
  <c r="AA31" i="4"/>
  <c r="AA27" i="3"/>
  <c r="AA34" i="4"/>
  <c r="Z31" i="4"/>
  <c r="Z27" i="3"/>
  <c r="Z34" i="4"/>
  <c r="Y34" i="4"/>
  <c r="Y27" i="3"/>
  <c r="Y31" i="4"/>
  <c r="X34" i="4"/>
  <c r="X27" i="3"/>
  <c r="X31" i="4"/>
  <c r="W27" i="3"/>
  <c r="W31" i="4"/>
  <c r="W34" i="4"/>
  <c r="V27" i="3"/>
  <c r="V31" i="4"/>
  <c r="V34" i="4"/>
  <c r="U27" i="3"/>
  <c r="U31" i="4"/>
  <c r="U34" i="4"/>
  <c r="T27" i="3"/>
  <c r="T34" i="4"/>
  <c r="T31" i="4"/>
  <c r="S34" i="4"/>
  <c r="S31" i="4"/>
  <c r="S27" i="3"/>
  <c r="R27" i="3"/>
  <c r="R31" i="4"/>
  <c r="R34" i="4"/>
  <c r="Q34" i="4"/>
  <c r="Q27" i="3"/>
  <c r="Q31" i="4"/>
  <c r="P34" i="4"/>
  <c r="P27" i="3"/>
  <c r="P31" i="4"/>
  <c r="O27" i="3"/>
  <c r="O34" i="4"/>
  <c r="O31" i="4"/>
  <c r="N27" i="3"/>
  <c r="N34" i="4"/>
  <c r="N31" i="4"/>
  <c r="M31" i="4"/>
  <c r="M27" i="3"/>
  <c r="M34" i="4"/>
  <c r="L34" i="4"/>
  <c r="L31" i="4"/>
  <c r="L27" i="3"/>
  <c r="K34" i="4"/>
  <c r="K31" i="4"/>
  <c r="K27" i="3"/>
  <c r="J34" i="4"/>
  <c r="J31" i="4"/>
  <c r="J27" i="3"/>
  <c r="I27" i="3"/>
  <c r="I34" i="4"/>
  <c r="I31" i="4"/>
  <c r="H34" i="4"/>
  <c r="H27" i="3"/>
  <c r="H31" i="4"/>
  <c r="G34" i="4"/>
  <c r="G31" i="4"/>
  <c r="G27" i="3"/>
  <c r="F34" i="4"/>
  <c r="F27" i="3"/>
  <c r="F31" i="4"/>
  <c r="E34" i="4"/>
  <c r="E27" i="3"/>
  <c r="E31" i="4"/>
  <c r="D34" i="4"/>
  <c r="D27" i="3"/>
  <c r="D31" i="4"/>
  <c r="AM12" i="3"/>
  <c r="AM9" i="3"/>
  <c r="AM16" i="3"/>
  <c r="AL12" i="3"/>
  <c r="AL9" i="3"/>
  <c r="AL16" i="3"/>
  <c r="AK9" i="3"/>
  <c r="AK16" i="3"/>
  <c r="AK12" i="3"/>
  <c r="AJ9" i="3"/>
  <c r="AJ16" i="3"/>
  <c r="AJ12" i="3"/>
  <c r="AI12" i="3"/>
  <c r="AI16" i="3"/>
  <c r="AI9" i="3"/>
  <c r="AH16" i="3"/>
  <c r="AH12" i="3"/>
  <c r="AH9" i="3"/>
  <c r="AG9" i="3"/>
  <c r="AG12" i="3"/>
  <c r="AG16" i="3"/>
  <c r="AF12" i="3"/>
  <c r="AF16" i="3"/>
  <c r="AF9" i="3"/>
  <c r="AE9" i="3"/>
  <c r="AE12" i="3"/>
  <c r="AE16" i="3"/>
  <c r="AD12" i="3"/>
  <c r="AD16" i="3"/>
  <c r="AD9" i="3"/>
  <c r="AC12" i="3"/>
  <c r="AC16" i="3"/>
  <c r="AC9" i="3"/>
  <c r="AB9" i="3"/>
  <c r="AB16" i="3"/>
  <c r="AB12" i="3"/>
  <c r="AA16" i="3"/>
  <c r="AA9" i="3"/>
  <c r="AA12" i="3"/>
  <c r="Z12" i="3"/>
  <c r="Z16" i="3"/>
  <c r="Z9" i="3"/>
  <c r="Y16" i="3"/>
  <c r="Y12" i="3"/>
  <c r="Y9" i="3"/>
  <c r="X12" i="3"/>
  <c r="X16" i="3"/>
  <c r="X9" i="3"/>
  <c r="W9" i="3"/>
  <c r="W16" i="3"/>
  <c r="W12" i="3"/>
  <c r="V9" i="3"/>
  <c r="V16" i="3"/>
  <c r="V12" i="3"/>
  <c r="U16" i="3"/>
  <c r="U9" i="3"/>
  <c r="U12" i="3"/>
  <c r="T9" i="3"/>
  <c r="T16" i="3"/>
  <c r="T12" i="3"/>
  <c r="S9" i="3"/>
  <c r="S16" i="3"/>
  <c r="S12" i="3"/>
  <c r="R9" i="3"/>
  <c r="R12" i="3"/>
  <c r="R16" i="3"/>
  <c r="Q9" i="3"/>
  <c r="Q16" i="3"/>
  <c r="Q12" i="3"/>
  <c r="P12" i="3"/>
  <c r="P16" i="3"/>
  <c r="P9" i="3"/>
  <c r="O12" i="3"/>
  <c r="O9" i="3"/>
  <c r="O16" i="3"/>
  <c r="N16" i="3"/>
  <c r="N12" i="3"/>
  <c r="N9" i="3"/>
  <c r="M9" i="3"/>
  <c r="M12" i="3"/>
  <c r="M16" i="3"/>
  <c r="L16" i="3"/>
  <c r="L9" i="3"/>
  <c r="L12" i="3"/>
  <c r="K12" i="3"/>
  <c r="K16" i="3"/>
  <c r="K9" i="3"/>
  <c r="J9" i="3"/>
  <c r="J16" i="3"/>
  <c r="J12" i="3"/>
  <c r="I12" i="3"/>
  <c r="I16" i="3"/>
  <c r="I9" i="3"/>
  <c r="H12" i="3"/>
  <c r="H9" i="3"/>
  <c r="H16" i="3"/>
  <c r="G9" i="3"/>
  <c r="G16" i="3"/>
  <c r="G12" i="3"/>
  <c r="F12" i="3"/>
  <c r="F9" i="3"/>
  <c r="F16" i="3"/>
  <c r="E9" i="3"/>
  <c r="E12" i="3"/>
  <c r="E16" i="3"/>
  <c r="D12" i="3"/>
  <c r="D16" i="3"/>
  <c r="D9" i="3"/>
  <c r="AM33" i="3" l="1"/>
  <c r="AM31" i="3"/>
  <c r="AL33" i="3"/>
  <c r="AL31" i="3"/>
  <c r="AK33" i="3"/>
  <c r="AK31" i="3"/>
  <c r="AJ33" i="3"/>
  <c r="AJ31" i="3"/>
  <c r="AI33" i="3"/>
  <c r="AI31" i="3"/>
  <c r="AH33" i="3"/>
  <c r="AH31" i="3"/>
  <c r="AG33" i="3"/>
  <c r="AG31" i="3"/>
  <c r="AF33" i="3"/>
  <c r="AF31" i="3"/>
  <c r="AE33" i="3"/>
  <c r="AE31" i="3"/>
  <c r="AD33" i="3"/>
  <c r="AD31" i="3"/>
  <c r="AC33" i="3"/>
  <c r="AC31" i="3"/>
  <c r="AA33" i="3"/>
  <c r="AA31" i="3"/>
  <c r="Z33" i="3"/>
  <c r="Z31" i="3"/>
  <c r="Y33" i="3"/>
  <c r="Y31" i="3"/>
  <c r="X33" i="3"/>
  <c r="X31" i="3"/>
  <c r="W33" i="3"/>
  <c r="W31" i="3"/>
  <c r="V33" i="3"/>
  <c r="V31" i="3"/>
  <c r="U33" i="3"/>
  <c r="U31" i="3"/>
  <c r="T33" i="3"/>
  <c r="T31" i="3"/>
  <c r="S33" i="3"/>
  <c r="S31" i="3"/>
  <c r="R33" i="3"/>
  <c r="R31" i="3"/>
  <c r="Q33" i="3"/>
  <c r="Q31" i="3"/>
  <c r="O33" i="3"/>
  <c r="O31" i="3"/>
  <c r="N33" i="3"/>
  <c r="N31" i="3"/>
  <c r="M31" i="3"/>
  <c r="M33" i="3"/>
  <c r="L33" i="3"/>
  <c r="L31" i="3"/>
  <c r="K31" i="3"/>
  <c r="K33" i="3"/>
  <c r="J33" i="3"/>
  <c r="J31" i="3"/>
  <c r="I31" i="3"/>
  <c r="I33" i="3"/>
  <c r="H31" i="3"/>
  <c r="H33" i="3"/>
  <c r="G31" i="3"/>
  <c r="G33" i="3"/>
  <c r="F33" i="3"/>
  <c r="F31" i="3"/>
  <c r="E33" i="3"/>
  <c r="E31" i="3"/>
  <c r="D33" i="3"/>
  <c r="D31" i="3"/>
  <c r="AB33" i="3"/>
  <c r="I14" i="1"/>
  <c r="P33" i="3"/>
  <c r="H14" i="1"/>
  <c r="E15" i="9"/>
  <c r="G14" i="1"/>
  <c r="D15" i="9"/>
  <c r="AM49" i="3"/>
  <c r="AM51" i="3"/>
  <c r="AM47" i="3"/>
  <c r="L9" i="6" s="1"/>
  <c r="AM62" i="4"/>
  <c r="AM55" i="7"/>
  <c r="AL49" i="3"/>
  <c r="AL51" i="3"/>
  <c r="AL62" i="4"/>
  <c r="AL47" i="3"/>
  <c r="AM46" i="3" s="1"/>
  <c r="AM56" i="7" s="1"/>
  <c r="AL55" i="7"/>
  <c r="AK49" i="3"/>
  <c r="AK51" i="3"/>
  <c r="AK55" i="7"/>
  <c r="AK62" i="4"/>
  <c r="AK47" i="3"/>
  <c r="AL46" i="3" s="1"/>
  <c r="AL56" i="7" s="1"/>
  <c r="AJ47" i="3"/>
  <c r="AK46" i="3" s="1"/>
  <c r="AK56" i="7" s="1"/>
  <c r="AJ62" i="4"/>
  <c r="AJ55" i="7"/>
  <c r="AJ51" i="3"/>
  <c r="AJ49" i="3"/>
  <c r="AI49" i="3"/>
  <c r="AI51" i="3"/>
  <c r="AI55" i="7"/>
  <c r="AI47" i="3"/>
  <c r="AJ46" i="3" s="1"/>
  <c r="AJ56" i="7" s="1"/>
  <c r="AI62" i="4"/>
  <c r="AH51" i="3"/>
  <c r="AH49" i="3"/>
  <c r="AH47" i="3"/>
  <c r="AI46" i="3" s="1"/>
  <c r="AI56" i="7" s="1"/>
  <c r="AH62" i="4"/>
  <c r="AH55" i="7"/>
  <c r="AG47" i="3"/>
  <c r="AH46" i="3" s="1"/>
  <c r="AH56" i="7" s="1"/>
  <c r="AG62" i="4"/>
  <c r="AG55" i="7"/>
  <c r="AG51" i="3"/>
  <c r="AG49" i="3"/>
  <c r="AF49" i="3"/>
  <c r="AF51" i="3"/>
  <c r="AF55" i="7"/>
  <c r="AF47" i="3"/>
  <c r="AG46" i="3" s="1"/>
  <c r="AG56" i="7" s="1"/>
  <c r="AF62" i="4"/>
  <c r="AE62" i="4"/>
  <c r="AE47" i="3"/>
  <c r="AF46" i="3" s="1"/>
  <c r="AF56" i="7" s="1"/>
  <c r="AE55" i="7"/>
  <c r="AE51" i="3"/>
  <c r="AE49" i="3"/>
  <c r="AD51" i="3"/>
  <c r="AD49" i="3"/>
  <c r="AD62" i="4"/>
  <c r="AD55" i="7"/>
  <c r="AD47" i="3"/>
  <c r="AE46" i="3" s="1"/>
  <c r="AE56" i="7" s="1"/>
  <c r="AC62" i="4"/>
  <c r="AC47" i="3"/>
  <c r="AD46" i="3" s="1"/>
  <c r="AD56" i="7" s="1"/>
  <c r="AC55" i="7"/>
  <c r="AC51" i="3"/>
  <c r="AC49" i="3"/>
  <c r="AB51" i="3"/>
  <c r="L14" i="1"/>
  <c r="AB49" i="3"/>
  <c r="AB47" i="3"/>
  <c r="AC46" i="3" s="1"/>
  <c r="AC56" i="7" s="1"/>
  <c r="AB62" i="4"/>
  <c r="L8" i="5"/>
  <c r="AB55" i="7"/>
  <c r="AA51" i="3"/>
  <c r="AA49" i="3"/>
  <c r="AA62" i="4"/>
  <c r="AA47" i="3"/>
  <c r="AA55" i="7"/>
  <c r="Z49" i="3"/>
  <c r="Z51" i="3"/>
  <c r="Z47" i="3"/>
  <c r="AA46" i="3" s="1"/>
  <c r="AA56" i="7" s="1"/>
  <c r="Z62" i="4"/>
  <c r="Z55" i="7"/>
  <c r="Y51" i="3"/>
  <c r="Y49" i="3"/>
  <c r="Y62" i="4"/>
  <c r="Y55" i="7"/>
  <c r="Y47" i="3"/>
  <c r="Z46" i="3" s="1"/>
  <c r="Z56" i="7" s="1"/>
  <c r="X51" i="3"/>
  <c r="X49" i="3"/>
  <c r="X47" i="3"/>
  <c r="Y46" i="3" s="1"/>
  <c r="Y56" i="7" s="1"/>
  <c r="X62" i="4"/>
  <c r="X55" i="7"/>
  <c r="W55" i="7"/>
  <c r="W47" i="3"/>
  <c r="X46" i="3" s="1"/>
  <c r="X56" i="7" s="1"/>
  <c r="W62" i="4"/>
  <c r="W51" i="3"/>
  <c r="W49" i="3"/>
  <c r="V62" i="4"/>
  <c r="V47" i="3"/>
  <c r="W46" i="3" s="1"/>
  <c r="W56" i="7" s="1"/>
  <c r="V55" i="7"/>
  <c r="V49" i="3"/>
  <c r="V51" i="3"/>
  <c r="U62" i="4"/>
  <c r="U47" i="3"/>
  <c r="V46" i="3" s="1"/>
  <c r="V56" i="7" s="1"/>
  <c r="U55" i="7"/>
  <c r="U49" i="3"/>
  <c r="U51" i="3"/>
  <c r="T49" i="3"/>
  <c r="T51" i="3"/>
  <c r="T62" i="4"/>
  <c r="T55" i="7"/>
  <c r="T47" i="3"/>
  <c r="U46" i="3" s="1"/>
  <c r="U56" i="7" s="1"/>
  <c r="S49" i="3"/>
  <c r="S51" i="3"/>
  <c r="S47" i="3"/>
  <c r="T46" i="3" s="1"/>
  <c r="T56" i="7" s="1"/>
  <c r="S62" i="4"/>
  <c r="S55" i="7"/>
  <c r="R51" i="3"/>
  <c r="R49" i="3"/>
  <c r="R62" i="4"/>
  <c r="R47" i="3"/>
  <c r="S46" i="3" s="1"/>
  <c r="S56" i="7" s="1"/>
  <c r="R55" i="7"/>
  <c r="Q51" i="3"/>
  <c r="Q49" i="3"/>
  <c r="Q55" i="7"/>
  <c r="Q62" i="4"/>
  <c r="Q47" i="3"/>
  <c r="R46" i="3" s="1"/>
  <c r="R56" i="7" s="1"/>
  <c r="P47" i="3"/>
  <c r="Q46" i="3" s="1"/>
  <c r="Q56" i="7" s="1"/>
  <c r="P62" i="4"/>
  <c r="K8" i="5"/>
  <c r="P55" i="7"/>
  <c r="K14" i="1"/>
  <c r="P49" i="3"/>
  <c r="P51" i="3"/>
  <c r="O49" i="3"/>
  <c r="O51" i="3"/>
  <c r="O55" i="7"/>
  <c r="O47" i="3"/>
  <c r="O62" i="4"/>
  <c r="N51" i="3"/>
  <c r="N49" i="3"/>
  <c r="N47" i="3"/>
  <c r="O46" i="3" s="1"/>
  <c r="O56" i="7" s="1"/>
  <c r="N62" i="4"/>
  <c r="N55" i="7"/>
  <c r="M49" i="3"/>
  <c r="M51" i="3"/>
  <c r="M62" i="4"/>
  <c r="M47" i="3"/>
  <c r="N46" i="3" s="1"/>
  <c r="N56" i="7" s="1"/>
  <c r="M55" i="7"/>
  <c r="L51" i="3"/>
  <c r="L49" i="3"/>
  <c r="L47" i="3"/>
  <c r="M46" i="3" s="1"/>
  <c r="M56" i="7" s="1"/>
  <c r="L62" i="4"/>
  <c r="L55" i="7"/>
  <c r="K51" i="3"/>
  <c r="K49" i="3"/>
  <c r="K47" i="3"/>
  <c r="L46" i="3" s="1"/>
  <c r="L56" i="7" s="1"/>
  <c r="K55" i="7"/>
  <c r="K62" i="4"/>
  <c r="J49" i="3"/>
  <c r="J51" i="3"/>
  <c r="J55" i="7"/>
  <c r="J47" i="3"/>
  <c r="K46" i="3" s="1"/>
  <c r="K56" i="7" s="1"/>
  <c r="J62" i="4"/>
  <c r="I47" i="3"/>
  <c r="J46" i="3" s="1"/>
  <c r="J56" i="7" s="1"/>
  <c r="I62" i="4"/>
  <c r="I55" i="7"/>
  <c r="I49" i="3"/>
  <c r="I51" i="3"/>
  <c r="H47" i="3"/>
  <c r="I46" i="3" s="1"/>
  <c r="I56" i="7" s="1"/>
  <c r="H62" i="4"/>
  <c r="H55" i="7"/>
  <c r="H51" i="3"/>
  <c r="H49" i="3"/>
  <c r="G49" i="3"/>
  <c r="G51" i="3"/>
  <c r="G47" i="3"/>
  <c r="H46" i="3" s="1"/>
  <c r="H56" i="7" s="1"/>
  <c r="G62" i="4"/>
  <c r="G55" i="7"/>
  <c r="F62" i="4"/>
  <c r="F47" i="3"/>
  <c r="G46" i="3" s="1"/>
  <c r="G56" i="7" s="1"/>
  <c r="F55" i="7"/>
  <c r="F49" i="3"/>
  <c r="F51" i="3"/>
  <c r="E49" i="3"/>
  <c r="E51" i="3"/>
  <c r="E62" i="4"/>
  <c r="E47" i="3"/>
  <c r="F46" i="3" s="1"/>
  <c r="F56" i="7" s="1"/>
  <c r="E55" i="7"/>
  <c r="D49" i="3"/>
  <c r="J14" i="1"/>
  <c r="D51" i="3"/>
  <c r="D46" i="3"/>
  <c r="D56" i="7" s="1"/>
  <c r="D62" i="4"/>
  <c r="J8" i="5"/>
  <c r="D55" i="7"/>
  <c r="D47" i="3"/>
  <c r="E46" i="3" s="1"/>
  <c r="E56" i="7" s="1"/>
  <c r="AM29" i="3"/>
  <c r="I9" i="6" s="1"/>
  <c r="AM38" i="4"/>
  <c r="AM31" i="7"/>
  <c r="AL29" i="3"/>
  <c r="AM28" i="3" s="1"/>
  <c r="AM32" i="7" s="1"/>
  <c r="AL38" i="4"/>
  <c r="AL31" i="7"/>
  <c r="AK29" i="3"/>
  <c r="AL28" i="3" s="1"/>
  <c r="AL32" i="7" s="1"/>
  <c r="AK38" i="4"/>
  <c r="AK31" i="7"/>
  <c r="AJ29" i="3"/>
  <c r="AK28" i="3" s="1"/>
  <c r="AK32" i="7" s="1"/>
  <c r="AJ38" i="4"/>
  <c r="AJ31" i="7"/>
  <c r="AI29" i="3"/>
  <c r="AJ28" i="3" s="1"/>
  <c r="AJ32" i="7" s="1"/>
  <c r="AI38" i="4"/>
  <c r="AI31" i="7"/>
  <c r="AH29" i="3"/>
  <c r="AI28" i="3" s="1"/>
  <c r="AI32" i="7" s="1"/>
  <c r="AH38" i="4"/>
  <c r="AH31" i="7"/>
  <c r="AG29" i="3"/>
  <c r="AH28" i="3" s="1"/>
  <c r="AH32" i="7" s="1"/>
  <c r="AG38" i="4"/>
  <c r="AG31" i="7"/>
  <c r="AF29" i="3"/>
  <c r="AG28" i="3" s="1"/>
  <c r="AG32" i="7" s="1"/>
  <c r="AF38" i="4"/>
  <c r="AF31" i="7"/>
  <c r="AE29" i="3"/>
  <c r="AF28" i="3" s="1"/>
  <c r="AF32" i="7" s="1"/>
  <c r="AE38" i="4"/>
  <c r="AE31" i="7"/>
  <c r="AD29" i="3"/>
  <c r="AE28" i="3" s="1"/>
  <c r="AE32" i="7" s="1"/>
  <c r="AD38" i="4"/>
  <c r="AD31" i="7"/>
  <c r="AC29" i="3"/>
  <c r="AD28" i="3" s="1"/>
  <c r="AD32" i="7" s="1"/>
  <c r="AC38" i="4"/>
  <c r="AC31" i="7"/>
  <c r="AB29" i="3"/>
  <c r="AC28" i="3" s="1"/>
  <c r="AC32" i="7" s="1"/>
  <c r="AB38" i="4"/>
  <c r="AB31" i="7"/>
  <c r="I8" i="5"/>
  <c r="AA29" i="3"/>
  <c r="AA38" i="4"/>
  <c r="AA31" i="7"/>
  <c r="Z29" i="3"/>
  <c r="AA28" i="3" s="1"/>
  <c r="AA32" i="7" s="1"/>
  <c r="Z38" i="4"/>
  <c r="Z31" i="7"/>
  <c r="Y29" i="3"/>
  <c r="Z28" i="3" s="1"/>
  <c r="Z32" i="7" s="1"/>
  <c r="Y38" i="4"/>
  <c r="Y31" i="7"/>
  <c r="X29" i="3"/>
  <c r="Y28" i="3" s="1"/>
  <c r="Y32" i="7" s="1"/>
  <c r="X38" i="4"/>
  <c r="X31" i="7"/>
  <c r="W29" i="3"/>
  <c r="X28" i="3" s="1"/>
  <c r="X32" i="7" s="1"/>
  <c r="W38" i="4"/>
  <c r="W31" i="7"/>
  <c r="V29" i="3"/>
  <c r="W28" i="3" s="1"/>
  <c r="W32" i="7" s="1"/>
  <c r="V38" i="4"/>
  <c r="V31" i="7"/>
  <c r="U29" i="3"/>
  <c r="V28" i="3" s="1"/>
  <c r="V32" i="7" s="1"/>
  <c r="U38" i="4"/>
  <c r="U31" i="7"/>
  <c r="T29" i="3"/>
  <c r="U28" i="3" s="1"/>
  <c r="U32" i="7" s="1"/>
  <c r="T38" i="4"/>
  <c r="T31" i="7"/>
  <c r="S29" i="3"/>
  <c r="T28" i="3" s="1"/>
  <c r="T32" i="7" s="1"/>
  <c r="S38" i="4"/>
  <c r="S31" i="7"/>
  <c r="R29" i="3"/>
  <c r="S28" i="3" s="1"/>
  <c r="S32" i="7" s="1"/>
  <c r="R38" i="4"/>
  <c r="R31" i="7"/>
  <c r="Q29" i="3"/>
  <c r="R28" i="3" s="1"/>
  <c r="R32" i="7" s="1"/>
  <c r="Q38" i="4"/>
  <c r="Q31" i="7"/>
  <c r="P29" i="3"/>
  <c r="Q28" i="3" s="1"/>
  <c r="Q32" i="7" s="1"/>
  <c r="P38" i="4"/>
  <c r="H8" i="5"/>
  <c r="P31" i="7"/>
  <c r="O29" i="3"/>
  <c r="O38" i="4"/>
  <c r="O31" i="7"/>
  <c r="N29" i="3"/>
  <c r="O28" i="3" s="1"/>
  <c r="O32" i="7" s="1"/>
  <c r="N38" i="4"/>
  <c r="N31" i="7"/>
  <c r="M29" i="3"/>
  <c r="N28" i="3" s="1"/>
  <c r="N32" i="7" s="1"/>
  <c r="M38" i="4"/>
  <c r="M31" i="7"/>
  <c r="L29" i="3"/>
  <c r="M28" i="3" s="1"/>
  <c r="M32" i="7" s="1"/>
  <c r="L38" i="4"/>
  <c r="L31" i="7"/>
  <c r="K29" i="3"/>
  <c r="L28" i="3" s="1"/>
  <c r="L32" i="7" s="1"/>
  <c r="K38" i="4"/>
  <c r="K31" i="7"/>
  <c r="J29" i="3"/>
  <c r="K28" i="3" s="1"/>
  <c r="K32" i="7" s="1"/>
  <c r="J38" i="4"/>
  <c r="J31" i="7"/>
  <c r="I29" i="3"/>
  <c r="J28" i="3" s="1"/>
  <c r="J32" i="7" s="1"/>
  <c r="I38" i="4"/>
  <c r="I31" i="7"/>
  <c r="H29" i="3"/>
  <c r="I28" i="3" s="1"/>
  <c r="I32" i="7" s="1"/>
  <c r="H38" i="4"/>
  <c r="H31" i="7"/>
  <c r="G29" i="3"/>
  <c r="H28" i="3" s="1"/>
  <c r="H32" i="7" s="1"/>
  <c r="G38" i="4"/>
  <c r="G31" i="7"/>
  <c r="F29" i="3"/>
  <c r="G28" i="3" s="1"/>
  <c r="G32" i="7" s="1"/>
  <c r="F38" i="4"/>
  <c r="F31" i="7"/>
  <c r="E29" i="3"/>
  <c r="F28" i="3" s="1"/>
  <c r="F32" i="7" s="1"/>
  <c r="E38" i="4"/>
  <c r="E31" i="7"/>
  <c r="D28" i="3"/>
  <c r="D32" i="7" s="1"/>
  <c r="D29" i="3"/>
  <c r="E28" i="3" s="1"/>
  <c r="E32" i="7" s="1"/>
  <c r="D38" i="4"/>
  <c r="G8" i="5"/>
  <c r="D31" i="7"/>
  <c r="AM13" i="3"/>
  <c r="AM15" i="3"/>
  <c r="AM14" i="4"/>
  <c r="AM7" i="7"/>
  <c r="AM11" i="3"/>
  <c r="F9" i="6" s="1"/>
  <c r="AL13" i="3"/>
  <c r="AL15" i="3"/>
  <c r="AL14" i="4"/>
  <c r="AL7" i="7"/>
  <c r="AL11" i="3"/>
  <c r="AM10" i="3" s="1"/>
  <c r="AM8" i="7" s="1"/>
  <c r="AK11" i="3"/>
  <c r="AL10" i="3" s="1"/>
  <c r="AL8" i="7" s="1"/>
  <c r="AK14" i="4"/>
  <c r="AK7" i="7"/>
  <c r="AK13" i="3"/>
  <c r="AK15" i="3"/>
  <c r="AJ14" i="4"/>
  <c r="AJ7" i="7"/>
  <c r="AJ11" i="3"/>
  <c r="AK10" i="3" s="1"/>
  <c r="AK8" i="7" s="1"/>
  <c r="AJ13" i="3"/>
  <c r="AJ15" i="3"/>
  <c r="AI13" i="3"/>
  <c r="AI15" i="3"/>
  <c r="AI11" i="3"/>
  <c r="AJ10" i="3" s="1"/>
  <c r="AJ8" i="7" s="1"/>
  <c r="AI7" i="7"/>
  <c r="AI14" i="4"/>
  <c r="AH13" i="3"/>
  <c r="AH15" i="3"/>
  <c r="AH11" i="3"/>
  <c r="AI10" i="3" s="1"/>
  <c r="AI8" i="7" s="1"/>
  <c r="AH14" i="4"/>
  <c r="AH7" i="7"/>
  <c r="AG14" i="4"/>
  <c r="AG7" i="7"/>
  <c r="AG11" i="3"/>
  <c r="AH10" i="3" s="1"/>
  <c r="AH8" i="7" s="1"/>
  <c r="AG13" i="3"/>
  <c r="AG15" i="3"/>
  <c r="AF13" i="3"/>
  <c r="AF15" i="3"/>
  <c r="AF14" i="4"/>
  <c r="AF7" i="7"/>
  <c r="AF11" i="3"/>
  <c r="AG10" i="3" s="1"/>
  <c r="AG8" i="7" s="1"/>
  <c r="AE7" i="7"/>
  <c r="AE14" i="4"/>
  <c r="AE11" i="3"/>
  <c r="AF10" i="3" s="1"/>
  <c r="AF8" i="7" s="1"/>
  <c r="AE13" i="3"/>
  <c r="AE15" i="3"/>
  <c r="AD13" i="3"/>
  <c r="AD15" i="3"/>
  <c r="AD11" i="3"/>
  <c r="AE10" i="3" s="1"/>
  <c r="AE8" i="7" s="1"/>
  <c r="AD14" i="4"/>
  <c r="AD7" i="7"/>
  <c r="AC13" i="3"/>
  <c r="AC15" i="3"/>
  <c r="AC11" i="3"/>
  <c r="AD10" i="3" s="1"/>
  <c r="AD8" i="7" s="1"/>
  <c r="AC14" i="4"/>
  <c r="AC7" i="7"/>
  <c r="AB14" i="4"/>
  <c r="AB7" i="7"/>
  <c r="F8" i="5"/>
  <c r="AB11" i="3"/>
  <c r="AC10" i="3" s="1"/>
  <c r="AC8" i="7" s="1"/>
  <c r="AB15" i="3"/>
  <c r="F14" i="1"/>
  <c r="AB13" i="3"/>
  <c r="AA11" i="3"/>
  <c r="AA14" i="4"/>
  <c r="AA7" i="7"/>
  <c r="AA13" i="3"/>
  <c r="AA15" i="3"/>
  <c r="Z13" i="3"/>
  <c r="Z15" i="3"/>
  <c r="Z11" i="3"/>
  <c r="AA10" i="3" s="1"/>
  <c r="AA8" i="7" s="1"/>
  <c r="Z14" i="4"/>
  <c r="Z7" i="7"/>
  <c r="Y13" i="3"/>
  <c r="Y15" i="3"/>
  <c r="Y11" i="3"/>
  <c r="Z10" i="3" s="1"/>
  <c r="Z8" i="7" s="1"/>
  <c r="Y14" i="4"/>
  <c r="Y7" i="7"/>
  <c r="X13" i="3"/>
  <c r="X15" i="3"/>
  <c r="X11" i="3"/>
  <c r="Y10" i="3" s="1"/>
  <c r="Y8" i="7" s="1"/>
  <c r="X7" i="7"/>
  <c r="X14" i="4"/>
  <c r="W14" i="4"/>
  <c r="W7" i="7"/>
  <c r="W11" i="3"/>
  <c r="X10" i="3" s="1"/>
  <c r="X8" i="7" s="1"/>
  <c r="W13" i="3"/>
  <c r="W15" i="3"/>
  <c r="V14" i="4"/>
  <c r="V7" i="7"/>
  <c r="V11" i="3"/>
  <c r="W10" i="3" s="1"/>
  <c r="W8" i="7" s="1"/>
  <c r="V13" i="3"/>
  <c r="V15" i="3"/>
  <c r="U11" i="3"/>
  <c r="V10" i="3" s="1"/>
  <c r="V8" i="7" s="1"/>
  <c r="U14" i="4"/>
  <c r="U7" i="7"/>
  <c r="U13" i="3"/>
  <c r="U15" i="3"/>
  <c r="T14" i="4"/>
  <c r="T7" i="7"/>
  <c r="T11" i="3"/>
  <c r="U10" i="3" s="1"/>
  <c r="U8" i="7" s="1"/>
  <c r="T13" i="3"/>
  <c r="T15" i="3"/>
  <c r="S7" i="7"/>
  <c r="S14" i="4"/>
  <c r="S11" i="3"/>
  <c r="T10" i="3" s="1"/>
  <c r="T8" i="7" s="1"/>
  <c r="S13" i="3"/>
  <c r="S15" i="3"/>
  <c r="R14" i="4"/>
  <c r="R7" i="7"/>
  <c r="R11" i="3"/>
  <c r="S10" i="3" s="1"/>
  <c r="S8" i="7" s="1"/>
  <c r="R13" i="3"/>
  <c r="R15" i="3"/>
  <c r="Q14" i="4"/>
  <c r="Q7" i="7"/>
  <c r="Q11" i="3"/>
  <c r="R10" i="3" s="1"/>
  <c r="R8" i="7" s="1"/>
  <c r="Q13" i="3"/>
  <c r="Q15" i="3"/>
  <c r="P13" i="3"/>
  <c r="P15" i="3"/>
  <c r="E14" i="1"/>
  <c r="P11" i="3"/>
  <c r="Q10" i="3" s="1"/>
  <c r="Q8" i="7" s="1"/>
  <c r="P14" i="4"/>
  <c r="P7" i="7"/>
  <c r="E8" i="5"/>
  <c r="O15" i="3"/>
  <c r="O13" i="3"/>
  <c r="O11" i="3"/>
  <c r="O14" i="4"/>
  <c r="O7" i="7"/>
  <c r="N13" i="3"/>
  <c r="N15" i="3"/>
  <c r="N11" i="3"/>
  <c r="O10" i="3" s="1"/>
  <c r="O8" i="7" s="1"/>
  <c r="N14" i="4"/>
  <c r="N7" i="7"/>
  <c r="M7" i="7"/>
  <c r="M14" i="4"/>
  <c r="M11" i="3"/>
  <c r="N10" i="3" s="1"/>
  <c r="N8" i="7" s="1"/>
  <c r="M13" i="3"/>
  <c r="M15" i="3"/>
  <c r="L14" i="4"/>
  <c r="L7" i="7"/>
  <c r="L11" i="3"/>
  <c r="M10" i="3" s="1"/>
  <c r="M8" i="7" s="1"/>
  <c r="L13" i="3"/>
  <c r="L15" i="3"/>
  <c r="K15" i="3"/>
  <c r="K13" i="3"/>
  <c r="K11" i="3"/>
  <c r="L10" i="3" s="1"/>
  <c r="L8" i="7" s="1"/>
  <c r="K14" i="4"/>
  <c r="K7" i="7"/>
  <c r="J7" i="7"/>
  <c r="J14" i="4"/>
  <c r="J11" i="3"/>
  <c r="K10" i="3" s="1"/>
  <c r="K8" i="7" s="1"/>
  <c r="J13" i="3"/>
  <c r="J15" i="3"/>
  <c r="I15" i="3"/>
  <c r="I13" i="3"/>
  <c r="I11" i="3"/>
  <c r="J10" i="3" s="1"/>
  <c r="J8" i="7" s="1"/>
  <c r="I14" i="4"/>
  <c r="I7" i="7"/>
  <c r="H13" i="3"/>
  <c r="H15" i="3"/>
  <c r="H7" i="7"/>
  <c r="H14" i="4"/>
  <c r="H11" i="3"/>
  <c r="I10" i="3" s="1"/>
  <c r="I8" i="7" s="1"/>
  <c r="G14" i="4"/>
  <c r="G7" i="7"/>
  <c r="G11" i="3"/>
  <c r="H10" i="3" s="1"/>
  <c r="H8" i="7" s="1"/>
  <c r="G13" i="3"/>
  <c r="G15" i="3"/>
  <c r="F13" i="3"/>
  <c r="F15" i="3"/>
  <c r="F11" i="3"/>
  <c r="G10" i="3" s="1"/>
  <c r="G8" i="7" s="1"/>
  <c r="F14" i="4"/>
  <c r="F7" i="7"/>
  <c r="E11" i="3"/>
  <c r="F10" i="3" s="1"/>
  <c r="F8" i="7" s="1"/>
  <c r="E7" i="7"/>
  <c r="E14" i="4"/>
  <c r="E13" i="3"/>
  <c r="E15" i="3"/>
  <c r="D14" i="1"/>
  <c r="D13" i="3"/>
  <c r="D15" i="3"/>
  <c r="D14" i="4"/>
  <c r="D7" i="7"/>
  <c r="D8" i="5"/>
  <c r="D10" i="3"/>
  <c r="D8" i="7" s="1"/>
  <c r="D11" i="3"/>
  <c r="E10" i="3" s="1"/>
  <c r="E8" i="7" s="1"/>
  <c r="F15" i="9"/>
  <c r="AB32" i="4"/>
  <c r="AB32" i="3"/>
  <c r="P32" i="4"/>
  <c r="P32" i="3"/>
  <c r="D56" i="4" l="1"/>
  <c r="D50" i="3"/>
  <c r="D57" i="4" s="1"/>
  <c r="D59" i="4" s="1"/>
  <c r="X56" i="4"/>
  <c r="X50" i="3"/>
  <c r="X57" i="4" s="1"/>
  <c r="X59" i="4" s="1"/>
  <c r="X65" i="4" s="1"/>
  <c r="P56" i="4"/>
  <c r="P50" i="3"/>
  <c r="P57" i="4" s="1"/>
  <c r="P59" i="4" s="1"/>
  <c r="O32" i="4"/>
  <c r="O32" i="3"/>
  <c r="O33" i="4" s="1"/>
  <c r="V56" i="4"/>
  <c r="V50" i="3"/>
  <c r="V57" i="4" s="1"/>
  <c r="U56" i="4"/>
  <c r="U50" i="3"/>
  <c r="U57" i="4" s="1"/>
  <c r="I56" i="4"/>
  <c r="I50" i="3"/>
  <c r="I57" i="4" s="1"/>
  <c r="M8" i="4"/>
  <c r="M14" i="3"/>
  <c r="M9" i="4" s="1"/>
  <c r="T56" i="4"/>
  <c r="T50" i="3"/>
  <c r="T57" i="4" s="1"/>
  <c r="AA8" i="4"/>
  <c r="AA14" i="3"/>
  <c r="AA9" i="4" s="1"/>
  <c r="AK56" i="4"/>
  <c r="AK50" i="3"/>
  <c r="AK57" i="4" s="1"/>
  <c r="J8" i="4"/>
  <c r="J14" i="3"/>
  <c r="J9" i="4" s="1"/>
  <c r="E56" i="4"/>
  <c r="E50" i="3"/>
  <c r="E57" i="4" s="1"/>
  <c r="E59" i="4" s="1"/>
  <c r="E65" i="4" s="1"/>
  <c r="Y8" i="4"/>
  <c r="Y14" i="3"/>
  <c r="Y9" i="4" s="1"/>
  <c r="Y11" i="4" s="1"/>
  <c r="Y17" i="4" s="1"/>
  <c r="D13" i="5"/>
  <c r="D18" i="1" s="1"/>
  <c r="H8" i="4"/>
  <c r="H14" i="3"/>
  <c r="H9" i="4" s="1"/>
  <c r="G8" i="4"/>
  <c r="G14" i="3"/>
  <c r="G9" i="4" s="1"/>
  <c r="G11" i="4" s="1"/>
  <c r="G17" i="4" s="1"/>
  <c r="E10" i="9"/>
  <c r="AM32" i="4"/>
  <c r="AM32" i="3"/>
  <c r="AM33" i="4" s="1"/>
  <c r="AM35" i="4" s="1"/>
  <c r="AM41" i="4" s="1"/>
  <c r="AL32" i="4"/>
  <c r="AL32" i="3"/>
  <c r="AL33" i="4" s="1"/>
  <c r="AK32" i="4"/>
  <c r="AK32" i="3"/>
  <c r="AK33" i="4" s="1"/>
  <c r="AJ32" i="4"/>
  <c r="AJ32" i="3"/>
  <c r="AJ33" i="4" s="1"/>
  <c r="AI32" i="4"/>
  <c r="AI32" i="3"/>
  <c r="AI33" i="4" s="1"/>
  <c r="AE32" i="4"/>
  <c r="AE32" i="3"/>
  <c r="AE33" i="4" s="1"/>
  <c r="AA32" i="4"/>
  <c r="AA32" i="3"/>
  <c r="AA33" i="4" s="1"/>
  <c r="S32" i="4"/>
  <c r="S32" i="3"/>
  <c r="S33" i="4" s="1"/>
  <c r="R32" i="3"/>
  <c r="R33" i="4" s="1"/>
  <c r="R32" i="4"/>
  <c r="Q32" i="3"/>
  <c r="Q33" i="4" s="1"/>
  <c r="Q32" i="4"/>
  <c r="N32" i="4"/>
  <c r="N32" i="3"/>
  <c r="N33" i="4" s="1"/>
  <c r="M32" i="3"/>
  <c r="M33" i="4" s="1"/>
  <c r="M32" i="4"/>
  <c r="L32" i="4"/>
  <c r="L32" i="3"/>
  <c r="L33" i="4" s="1"/>
  <c r="K32" i="3"/>
  <c r="K33" i="4" s="1"/>
  <c r="K32" i="4"/>
  <c r="J32" i="4"/>
  <c r="J32" i="3"/>
  <c r="J33" i="4" s="1"/>
  <c r="I32" i="3"/>
  <c r="I33" i="4" s="1"/>
  <c r="I32" i="4"/>
  <c r="H32" i="3"/>
  <c r="H33" i="4" s="1"/>
  <c r="H32" i="4"/>
  <c r="G32" i="3"/>
  <c r="G33" i="4" s="1"/>
  <c r="G32" i="4"/>
  <c r="F32" i="4"/>
  <c r="F32" i="3"/>
  <c r="F33" i="4" s="1"/>
  <c r="E32" i="3"/>
  <c r="E33" i="4" s="1"/>
  <c r="E32" i="4"/>
  <c r="D32" i="4"/>
  <c r="D32" i="3"/>
  <c r="Z56" i="4"/>
  <c r="Z50" i="3"/>
  <c r="Z57" i="4" s="1"/>
  <c r="Z8" i="4"/>
  <c r="Z14" i="3"/>
  <c r="Z9" i="4" s="1"/>
  <c r="X8" i="4"/>
  <c r="X14" i="3"/>
  <c r="X9" i="4" s="1"/>
  <c r="W8" i="4"/>
  <c r="W14" i="3"/>
  <c r="W9" i="4" s="1"/>
  <c r="V8" i="4"/>
  <c r="V14" i="3"/>
  <c r="V9" i="4" s="1"/>
  <c r="F13" i="5"/>
  <c r="F18" i="1" s="1"/>
  <c r="AH32" i="3"/>
  <c r="AH33" i="4" s="1"/>
  <c r="AH32" i="4"/>
  <c r="AG32" i="4"/>
  <c r="AG32" i="3"/>
  <c r="AG33" i="4" s="1"/>
  <c r="AG35" i="4" s="1"/>
  <c r="AG41" i="4" s="1"/>
  <c r="AF32" i="4"/>
  <c r="AF32" i="3"/>
  <c r="AF33" i="4" s="1"/>
  <c r="AF35" i="4" s="1"/>
  <c r="AF41" i="4" s="1"/>
  <c r="AD32" i="4"/>
  <c r="AD32" i="3"/>
  <c r="AC32" i="3"/>
  <c r="AC33" i="4" s="1"/>
  <c r="AC32" i="4"/>
  <c r="Z32" i="4"/>
  <c r="Z32" i="3"/>
  <c r="Z33" i="4" s="1"/>
  <c r="Y32" i="3"/>
  <c r="Y33" i="4" s="1"/>
  <c r="Y32" i="4"/>
  <c r="X32" i="4"/>
  <c r="X32" i="3"/>
  <c r="X33" i="4" s="1"/>
  <c r="W32" i="4"/>
  <c r="W32" i="3"/>
  <c r="W33" i="4" s="1"/>
  <c r="V32" i="4"/>
  <c r="V32" i="3"/>
  <c r="V33" i="4" s="1"/>
  <c r="U32" i="3"/>
  <c r="U33" i="4" s="1"/>
  <c r="U32" i="4"/>
  <c r="T32" i="4"/>
  <c r="T32" i="3"/>
  <c r="U8" i="4"/>
  <c r="U14" i="3"/>
  <c r="U9" i="4" s="1"/>
  <c r="E13" i="5"/>
  <c r="E18" i="1" s="1"/>
  <c r="D10" i="9"/>
  <c r="AM8" i="4"/>
  <c r="AM14" i="3"/>
  <c r="AM9" i="4" s="1"/>
  <c r="AF8" i="4"/>
  <c r="AF14" i="3"/>
  <c r="AF9" i="4" s="1"/>
  <c r="E9" i="6"/>
  <c r="AB10" i="3"/>
  <c r="AB8" i="7" s="1"/>
  <c r="N8" i="4"/>
  <c r="N14" i="3"/>
  <c r="N9" i="4" s="1"/>
  <c r="L8" i="4"/>
  <c r="L14" i="3"/>
  <c r="L9" i="4" s="1"/>
  <c r="F8" i="4"/>
  <c r="F14" i="3"/>
  <c r="F9" i="4" s="1"/>
  <c r="L13" i="5"/>
  <c r="L18" i="1" s="1"/>
  <c r="H13" i="5"/>
  <c r="H18" i="1" s="1"/>
  <c r="AL56" i="4"/>
  <c r="AL50" i="3"/>
  <c r="AL57" i="4" s="1"/>
  <c r="AH56" i="4"/>
  <c r="AH50" i="3"/>
  <c r="AH57" i="4" s="1"/>
  <c r="K9" i="6"/>
  <c r="AB46" i="3"/>
  <c r="AB56" i="7" s="1"/>
  <c r="O56" i="4"/>
  <c r="O50" i="3"/>
  <c r="O57" i="4" s="1"/>
  <c r="N56" i="4"/>
  <c r="N50" i="3"/>
  <c r="N57" i="4" s="1"/>
  <c r="AJ8" i="4"/>
  <c r="AJ14" i="3"/>
  <c r="AJ9" i="4" s="1"/>
  <c r="AB8" i="4"/>
  <c r="AB14" i="3"/>
  <c r="AB9" i="4" s="1"/>
  <c r="L8" i="1"/>
  <c r="K8" i="1"/>
  <c r="J8" i="1"/>
  <c r="F6" i="9"/>
  <c r="I8" i="1"/>
  <c r="H8" i="1"/>
  <c r="G8" i="1"/>
  <c r="E6" i="9"/>
  <c r="F8" i="1"/>
  <c r="E8" i="1"/>
  <c r="D8" i="1"/>
  <c r="D6" i="9"/>
  <c r="AB33" i="4"/>
  <c r="AB35" i="4" s="1"/>
  <c r="P33" i="4"/>
  <c r="P35" i="4" s="1"/>
  <c r="K13" i="5"/>
  <c r="K18" i="1" s="1"/>
  <c r="F10" i="9"/>
  <c r="J13" i="5"/>
  <c r="J18" i="1" s="1"/>
  <c r="I13" i="5"/>
  <c r="I18" i="1" s="1"/>
  <c r="G13" i="5"/>
  <c r="G18" i="1" s="1"/>
  <c r="AM56" i="4"/>
  <c r="AM50" i="3"/>
  <c r="AM57" i="4" s="1"/>
  <c r="AJ56" i="4"/>
  <c r="AJ50" i="3"/>
  <c r="AJ57" i="4" s="1"/>
  <c r="AJ59" i="4" s="1"/>
  <c r="AJ65" i="4" s="1"/>
  <c r="AI56" i="4"/>
  <c r="AI50" i="3"/>
  <c r="AI57" i="4" s="1"/>
  <c r="AG56" i="4"/>
  <c r="AG50" i="3"/>
  <c r="AG57" i="4" s="1"/>
  <c r="AG59" i="4" s="1"/>
  <c r="AG65" i="4" s="1"/>
  <c r="AF56" i="4"/>
  <c r="AF50" i="3"/>
  <c r="AF57" i="4" s="1"/>
  <c r="AE56" i="4"/>
  <c r="AE50" i="3"/>
  <c r="AE57" i="4" s="1"/>
  <c r="AD56" i="4"/>
  <c r="AD50" i="3"/>
  <c r="AD57" i="4" s="1"/>
  <c r="AC56" i="4"/>
  <c r="AC50" i="3"/>
  <c r="AC57" i="4" s="1"/>
  <c r="AC59" i="4" s="1"/>
  <c r="AC65" i="4" s="1"/>
  <c r="AB56" i="4"/>
  <c r="AB50" i="3"/>
  <c r="AA56" i="4"/>
  <c r="AA50" i="3"/>
  <c r="AA57" i="4" s="1"/>
  <c r="Y56" i="4"/>
  <c r="Y50" i="3"/>
  <c r="Y57" i="4" s="1"/>
  <c r="W56" i="4"/>
  <c r="W50" i="3"/>
  <c r="W57" i="4" s="1"/>
  <c r="W59" i="4" s="1"/>
  <c r="W65" i="4" s="1"/>
  <c r="S56" i="4"/>
  <c r="S50" i="3"/>
  <c r="S57" i="4" s="1"/>
  <c r="S59" i="4" s="1"/>
  <c r="S65" i="4" s="1"/>
  <c r="R56" i="4"/>
  <c r="R50" i="3"/>
  <c r="Q56" i="4"/>
  <c r="Q50" i="3"/>
  <c r="Q57" i="4" s="1"/>
  <c r="J9" i="6"/>
  <c r="P46" i="3"/>
  <c r="P56" i="7" s="1"/>
  <c r="M56" i="4"/>
  <c r="M50" i="3"/>
  <c r="M57" i="4" s="1"/>
  <c r="M59" i="4" s="1"/>
  <c r="M65" i="4" s="1"/>
  <c r="L56" i="4"/>
  <c r="L50" i="3"/>
  <c r="L57" i="4" s="1"/>
  <c r="K56" i="4"/>
  <c r="K50" i="3"/>
  <c r="K57" i="4" s="1"/>
  <c r="J56" i="4"/>
  <c r="J50" i="3"/>
  <c r="J57" i="4" s="1"/>
  <c r="H56" i="4"/>
  <c r="H50" i="3"/>
  <c r="H57" i="4" s="1"/>
  <c r="G56" i="4"/>
  <c r="G50" i="3"/>
  <c r="G57" i="4" s="1"/>
  <c r="G59" i="4" s="1"/>
  <c r="G65" i="4" s="1"/>
  <c r="F56" i="4"/>
  <c r="F50" i="3"/>
  <c r="H9" i="6"/>
  <c r="AB28" i="3"/>
  <c r="AB32" i="7" s="1"/>
  <c r="G9" i="6"/>
  <c r="P28" i="3"/>
  <c r="P32" i="7" s="1"/>
  <c r="AL8" i="4"/>
  <c r="AL14" i="3"/>
  <c r="AL9" i="4" s="1"/>
  <c r="AK8" i="4"/>
  <c r="AK14" i="3"/>
  <c r="AK9" i="4" s="1"/>
  <c r="AK11" i="4" s="1"/>
  <c r="AK17" i="4" s="1"/>
  <c r="AI8" i="4"/>
  <c r="AI14" i="3"/>
  <c r="AI9" i="4" s="1"/>
  <c r="AH8" i="4"/>
  <c r="AH14" i="3"/>
  <c r="AH9" i="4" s="1"/>
  <c r="AG8" i="4"/>
  <c r="AG14" i="3"/>
  <c r="AG9" i="4" s="1"/>
  <c r="AE8" i="4"/>
  <c r="AE14" i="3"/>
  <c r="AE9" i="4" s="1"/>
  <c r="AE11" i="4" s="1"/>
  <c r="AE17" i="4" s="1"/>
  <c r="AD8" i="4"/>
  <c r="AD14" i="3"/>
  <c r="AD9" i="4" s="1"/>
  <c r="AC8" i="4"/>
  <c r="AC14" i="3"/>
  <c r="T8" i="4"/>
  <c r="T14" i="3"/>
  <c r="T9" i="4" s="1"/>
  <c r="S8" i="4"/>
  <c r="S14" i="3"/>
  <c r="S9" i="4" s="1"/>
  <c r="R8" i="4"/>
  <c r="R14" i="3"/>
  <c r="R9" i="4" s="1"/>
  <c r="R11" i="4" s="1"/>
  <c r="R17" i="4" s="1"/>
  <c r="Q8" i="4"/>
  <c r="Q14" i="3"/>
  <c r="Q9" i="4" s="1"/>
  <c r="Q11" i="4" s="1"/>
  <c r="Q17" i="4" s="1"/>
  <c r="P8" i="4"/>
  <c r="P14" i="3"/>
  <c r="O8" i="4"/>
  <c r="O14" i="3"/>
  <c r="O9" i="4" s="1"/>
  <c r="O11" i="4" s="1"/>
  <c r="O17" i="4" s="1"/>
  <c r="D9" i="6"/>
  <c r="P10" i="3"/>
  <c r="P8" i="7" s="1"/>
  <c r="K8" i="4"/>
  <c r="K14" i="3"/>
  <c r="K9" i="4" s="1"/>
  <c r="K11" i="4" s="1"/>
  <c r="K17" i="4" s="1"/>
  <c r="I8" i="4"/>
  <c r="I14" i="3"/>
  <c r="I9" i="4" s="1"/>
  <c r="E8" i="4"/>
  <c r="E14" i="3"/>
  <c r="E9" i="4" s="1"/>
  <c r="D8" i="4"/>
  <c r="D14" i="3"/>
  <c r="AM59" i="4" l="1"/>
  <c r="AM65" i="4" s="1"/>
  <c r="AD59" i="4"/>
  <c r="AD65" i="4" s="1"/>
  <c r="E11" i="4"/>
  <c r="E17" i="4" s="1"/>
  <c r="H35" i="4"/>
  <c r="H41" i="4" s="1"/>
  <c r="O35" i="4"/>
  <c r="O41" i="4" s="1"/>
  <c r="Q59" i="4"/>
  <c r="Q65" i="4" s="1"/>
  <c r="AE59" i="4"/>
  <c r="AE65" i="4" s="1"/>
  <c r="AI11" i="4"/>
  <c r="AI17" i="4" s="1"/>
  <c r="AH11" i="4"/>
  <c r="AH17" i="4" s="1"/>
  <c r="H59" i="4"/>
  <c r="H65" i="4" s="1"/>
  <c r="AB11" i="4"/>
  <c r="AB17" i="4" s="1"/>
  <c r="AF59" i="4"/>
  <c r="AF65" i="4" s="1"/>
  <c r="J59" i="4"/>
  <c r="J65" i="4" s="1"/>
  <c r="AI59" i="4"/>
  <c r="AI65" i="4" s="1"/>
  <c r="AK35" i="4"/>
  <c r="AK41" i="4" s="1"/>
  <c r="H11" i="4"/>
  <c r="H17" i="4" s="1"/>
  <c r="S35" i="4"/>
  <c r="S41" i="4" s="1"/>
  <c r="L11" i="4"/>
  <c r="L17" i="4" s="1"/>
  <c r="AG11" i="4"/>
  <c r="AG17" i="4" s="1"/>
  <c r="K35" i="4"/>
  <c r="K41" i="4" s="1"/>
  <c r="AI35" i="4"/>
  <c r="AI41" i="4" s="1"/>
  <c r="Z35" i="4"/>
  <c r="Z41" i="4" s="1"/>
  <c r="G35" i="4"/>
  <c r="G41" i="4" s="1"/>
  <c r="T59" i="4"/>
  <c r="T65" i="4" s="1"/>
  <c r="T11" i="4"/>
  <c r="T17" i="4" s="1"/>
  <c r="AE35" i="4"/>
  <c r="AE41" i="4" s="1"/>
  <c r="Z59" i="4"/>
  <c r="Z65" i="4" s="1"/>
  <c r="AL59" i="4"/>
  <c r="AL65" i="4" s="1"/>
  <c r="K59" i="4"/>
  <c r="K65" i="4" s="1"/>
  <c r="L35" i="4"/>
  <c r="L41" i="4" s="1"/>
  <c r="J35" i="4"/>
  <c r="J41" i="4" s="1"/>
  <c r="I35" i="4"/>
  <c r="I41" i="4" s="1"/>
  <c r="F35" i="4"/>
  <c r="F41" i="4" s="1"/>
  <c r="S11" i="4"/>
  <c r="S17" i="4" s="1"/>
  <c r="O59" i="4"/>
  <c r="O65" i="4" s="1"/>
  <c r="Y59" i="4"/>
  <c r="Y65" i="4" s="1"/>
  <c r="V59" i="4"/>
  <c r="V65" i="4" s="1"/>
  <c r="U59" i="4"/>
  <c r="U65" i="4" s="1"/>
  <c r="I59" i="4"/>
  <c r="I65" i="4" s="1"/>
  <c r="M11" i="4"/>
  <c r="M17" i="4" s="1"/>
  <c r="AA11" i="4"/>
  <c r="AA17" i="4" s="1"/>
  <c r="J11" i="4"/>
  <c r="J17" i="4" s="1"/>
  <c r="AJ35" i="4"/>
  <c r="AJ41" i="4" s="1"/>
  <c r="AH59" i="4"/>
  <c r="AH65" i="4" s="1"/>
  <c r="AA59" i="4"/>
  <c r="AA65" i="4" s="1"/>
  <c r="AA35" i="4"/>
  <c r="AA41" i="4" s="1"/>
  <c r="W11" i="4"/>
  <c r="W17" i="4" s="1"/>
  <c r="Z11" i="4"/>
  <c r="Z17" i="4" s="1"/>
  <c r="AF11" i="4"/>
  <c r="AF17" i="4" s="1"/>
  <c r="X11" i="4"/>
  <c r="X17" i="4" s="1"/>
  <c r="V11" i="4"/>
  <c r="V17" i="4" s="1"/>
  <c r="AD11" i="4"/>
  <c r="AD17" i="4" s="1"/>
  <c r="L59" i="4"/>
  <c r="L65" i="4" s="1"/>
  <c r="AK59" i="4"/>
  <c r="AK65" i="4" s="1"/>
  <c r="N35" i="4"/>
  <c r="N41" i="4" s="1"/>
  <c r="M35" i="4"/>
  <c r="M41" i="4" s="1"/>
  <c r="N11" i="4"/>
  <c r="N17" i="4" s="1"/>
  <c r="AL35" i="4"/>
  <c r="AL41" i="4" s="1"/>
  <c r="E35" i="4"/>
  <c r="E41" i="4" s="1"/>
  <c r="U35" i="4"/>
  <c r="U41" i="4" s="1"/>
  <c r="R35" i="4"/>
  <c r="R41" i="4" s="1"/>
  <c r="Q35" i="4"/>
  <c r="Q41" i="4" s="1"/>
  <c r="D33" i="4"/>
  <c r="D35" i="4" s="1"/>
  <c r="G15" i="1"/>
  <c r="X35" i="4"/>
  <c r="X41" i="4" s="1"/>
  <c r="F11" i="4"/>
  <c r="F17" i="4" s="1"/>
  <c r="V35" i="4"/>
  <c r="V41" i="4" s="1"/>
  <c r="U11" i="4"/>
  <c r="U17" i="4" s="1"/>
  <c r="AM11" i="4"/>
  <c r="AM17" i="4" s="1"/>
  <c r="W35" i="4"/>
  <c r="W41" i="4" s="1"/>
  <c r="I11" i="4"/>
  <c r="I17" i="4" s="1"/>
  <c r="AH35" i="4"/>
  <c r="AH41" i="4" s="1"/>
  <c r="AL11" i="4"/>
  <c r="AL17" i="4" s="1"/>
  <c r="T33" i="4"/>
  <c r="T35" i="4" s="1"/>
  <c r="H15" i="1"/>
  <c r="AC35" i="4"/>
  <c r="Y35" i="4"/>
  <c r="Y41" i="4" s="1"/>
  <c r="N59" i="4"/>
  <c r="AJ11" i="4"/>
  <c r="AJ17" i="4" s="1"/>
  <c r="AG43" i="4"/>
  <c r="AG42" i="4"/>
  <c r="AG33" i="7" s="1"/>
  <c r="AG35" i="7" s="1"/>
  <c r="AF43" i="4"/>
  <c r="AF42" i="4"/>
  <c r="AF33" i="7" s="1"/>
  <c r="AF35" i="7" s="1"/>
  <c r="AD33" i="4"/>
  <c r="AD35" i="4" s="1"/>
  <c r="AD41" i="4" s="1"/>
  <c r="I15" i="1"/>
  <c r="AM43" i="4"/>
  <c r="AM42" i="4"/>
  <c r="AM33" i="7" s="1"/>
  <c r="AM35" i="7" s="1"/>
  <c r="F57" i="4"/>
  <c r="F59" i="4" s="1"/>
  <c r="F65" i="4" s="1"/>
  <c r="J15" i="1"/>
  <c r="AC9" i="4"/>
  <c r="AC11" i="4" s="1"/>
  <c r="F15" i="1"/>
  <c r="P65" i="4"/>
  <c r="D65" i="4"/>
  <c r="AB41" i="4"/>
  <c r="P41" i="4"/>
  <c r="X67" i="4"/>
  <c r="X66" i="4"/>
  <c r="X57" i="7" s="1"/>
  <c r="X59" i="7" s="1"/>
  <c r="E67" i="4"/>
  <c r="E66" i="4"/>
  <c r="E57" i="7" s="1"/>
  <c r="E59" i="7" s="1"/>
  <c r="Y19" i="4"/>
  <c r="Y18" i="4"/>
  <c r="Y9" i="7" s="1"/>
  <c r="Y11" i="7" s="1"/>
  <c r="G19" i="4"/>
  <c r="G18" i="4"/>
  <c r="G9" i="7" s="1"/>
  <c r="G11" i="7" s="1"/>
  <c r="AM67" i="4"/>
  <c r="AM66" i="4"/>
  <c r="AM57" i="7" s="1"/>
  <c r="AM59" i="7" s="1"/>
  <c r="AJ67" i="4"/>
  <c r="AJ66" i="4"/>
  <c r="AJ57" i="7" s="1"/>
  <c r="AJ59" i="7" s="1"/>
  <c r="AG67" i="4"/>
  <c r="AG66" i="4"/>
  <c r="AG57" i="7" s="1"/>
  <c r="AG59" i="7" s="1"/>
  <c r="AD67" i="4"/>
  <c r="AD66" i="4"/>
  <c r="AD57" i="7" s="1"/>
  <c r="AD59" i="7" s="1"/>
  <c r="AC67" i="4"/>
  <c r="AC66" i="4"/>
  <c r="AC57" i="7" s="1"/>
  <c r="AC59" i="7" s="1"/>
  <c r="AB57" i="4"/>
  <c r="AB59" i="4" s="1"/>
  <c r="L15" i="1"/>
  <c r="W67" i="4"/>
  <c r="W66" i="4"/>
  <c r="W57" i="7" s="1"/>
  <c r="W59" i="7" s="1"/>
  <c r="S67" i="4"/>
  <c r="S66" i="4"/>
  <c r="S57" i="7" s="1"/>
  <c r="S59" i="7" s="1"/>
  <c r="M67" i="4"/>
  <c r="M66" i="4"/>
  <c r="M57" i="7" s="1"/>
  <c r="M59" i="7" s="1"/>
  <c r="G67" i="4"/>
  <c r="G66" i="4"/>
  <c r="G57" i="7" s="1"/>
  <c r="G59" i="7" s="1"/>
  <c r="AK19" i="4"/>
  <c r="AK18" i="4"/>
  <c r="AK9" i="7" s="1"/>
  <c r="AK11" i="7" s="1"/>
  <c r="AE19" i="4"/>
  <c r="AE18" i="4"/>
  <c r="AE9" i="7" s="1"/>
  <c r="AE11" i="7" s="1"/>
  <c r="R19" i="4"/>
  <c r="R18" i="4"/>
  <c r="R9" i="7" s="1"/>
  <c r="R11" i="7" s="1"/>
  <c r="Q19" i="4"/>
  <c r="Q18" i="4"/>
  <c r="Q9" i="7" s="1"/>
  <c r="Q11" i="7" s="1"/>
  <c r="E15" i="1"/>
  <c r="P9" i="4"/>
  <c r="P11" i="4" s="1"/>
  <c r="O19" i="4"/>
  <c r="O18" i="4"/>
  <c r="O9" i="7" s="1"/>
  <c r="O11" i="7" s="1"/>
  <c r="K19" i="4"/>
  <c r="K18" i="4"/>
  <c r="K9" i="7" s="1"/>
  <c r="K11" i="7" s="1"/>
  <c r="D15" i="1"/>
  <c r="D9" i="4"/>
  <c r="D11" i="4" s="1"/>
  <c r="R57" i="4"/>
  <c r="R59" i="4" s="1"/>
  <c r="K15" i="1"/>
  <c r="E19" i="4" l="1"/>
  <c r="E18" i="4"/>
  <c r="E9" i="7" s="1"/>
  <c r="E11" i="7" s="1"/>
  <c r="H43" i="4"/>
  <c r="H42" i="4"/>
  <c r="H33" i="7" s="1"/>
  <c r="H35" i="7" s="1"/>
  <c r="O43" i="4"/>
  <c r="O42" i="4"/>
  <c r="O33" i="7" s="1"/>
  <c r="O35" i="7" s="1"/>
  <c r="Q66" i="4"/>
  <c r="Q57" i="7" s="1"/>
  <c r="Q59" i="7" s="1"/>
  <c r="Q67" i="4"/>
  <c r="AE67" i="4"/>
  <c r="AE66" i="4"/>
  <c r="AE57" i="7" s="1"/>
  <c r="AE59" i="7" s="1"/>
  <c r="AI19" i="4"/>
  <c r="AI18" i="4"/>
  <c r="AI9" i="7" s="1"/>
  <c r="AI11" i="7" s="1"/>
  <c r="AH19" i="4"/>
  <c r="AH18" i="4"/>
  <c r="AH9" i="7" s="1"/>
  <c r="AH11" i="7" s="1"/>
  <c r="H67" i="4"/>
  <c r="H66" i="4"/>
  <c r="H57" i="7" s="1"/>
  <c r="H59" i="7" s="1"/>
  <c r="AB19" i="4"/>
  <c r="AB18" i="4"/>
  <c r="AB9" i="7" s="1"/>
  <c r="AB11" i="7" s="1"/>
  <c r="AF66" i="4"/>
  <c r="AF57" i="7" s="1"/>
  <c r="AF59" i="7" s="1"/>
  <c r="AF67" i="4"/>
  <c r="J67" i="4"/>
  <c r="J66" i="4"/>
  <c r="J57" i="7" s="1"/>
  <c r="J59" i="7" s="1"/>
  <c r="AI67" i="4"/>
  <c r="AI66" i="4"/>
  <c r="AI57" i="7" s="1"/>
  <c r="AI59" i="7" s="1"/>
  <c r="AK42" i="4"/>
  <c r="AK33" i="7" s="1"/>
  <c r="AK35" i="7" s="1"/>
  <c r="AK43" i="4"/>
  <c r="H18" i="4"/>
  <c r="H9" i="7" s="1"/>
  <c r="H11" i="7" s="1"/>
  <c r="H19" i="4"/>
  <c r="S42" i="4"/>
  <c r="S33" i="7" s="1"/>
  <c r="S35" i="7" s="1"/>
  <c r="S43" i="4"/>
  <c r="L19" i="4"/>
  <c r="L18" i="4"/>
  <c r="L9" i="7" s="1"/>
  <c r="L11" i="7" s="1"/>
  <c r="AG18" i="4"/>
  <c r="AG9" i="7" s="1"/>
  <c r="AG11" i="7" s="1"/>
  <c r="AG19" i="4"/>
  <c r="K43" i="4"/>
  <c r="K42" i="4"/>
  <c r="K33" i="7" s="1"/>
  <c r="K35" i="7" s="1"/>
  <c r="AA42" i="4"/>
  <c r="AA33" i="7" s="1"/>
  <c r="AA35" i="7" s="1"/>
  <c r="AA43" i="4"/>
  <c r="AI43" i="4"/>
  <c r="AI42" i="4"/>
  <c r="AI33" i="7" s="1"/>
  <c r="AI35" i="7" s="1"/>
  <c r="Z43" i="4"/>
  <c r="Z42" i="4"/>
  <c r="Z33" i="7" s="1"/>
  <c r="Z35" i="7" s="1"/>
  <c r="G43" i="4"/>
  <c r="G42" i="4"/>
  <c r="G33" i="7" s="1"/>
  <c r="G35" i="7" s="1"/>
  <c r="T67" i="4"/>
  <c r="T66" i="4"/>
  <c r="T57" i="7" s="1"/>
  <c r="T59" i="7" s="1"/>
  <c r="T19" i="4"/>
  <c r="T18" i="4"/>
  <c r="T9" i="7" s="1"/>
  <c r="T11" i="7" s="1"/>
  <c r="AE43" i="4"/>
  <c r="AE42" i="4"/>
  <c r="AE33" i="7" s="1"/>
  <c r="AE35" i="7" s="1"/>
  <c r="Z67" i="4"/>
  <c r="Z66" i="4"/>
  <c r="Z57" i="7" s="1"/>
  <c r="Z59" i="7" s="1"/>
  <c r="AL67" i="4"/>
  <c r="AL66" i="4"/>
  <c r="AL57" i="7" s="1"/>
  <c r="AL59" i="7" s="1"/>
  <c r="K67" i="4"/>
  <c r="K66" i="4"/>
  <c r="K57" i="7" s="1"/>
  <c r="K59" i="7" s="1"/>
  <c r="L43" i="4"/>
  <c r="L42" i="4"/>
  <c r="L33" i="7" s="1"/>
  <c r="L35" i="7" s="1"/>
  <c r="J42" i="4"/>
  <c r="J33" i="7" s="1"/>
  <c r="J35" i="7" s="1"/>
  <c r="J43" i="4"/>
  <c r="I42" i="4"/>
  <c r="I33" i="7" s="1"/>
  <c r="I35" i="7" s="1"/>
  <c r="I43" i="4"/>
  <c r="S19" i="4"/>
  <c r="S18" i="4"/>
  <c r="S9" i="7" s="1"/>
  <c r="S11" i="7" s="1"/>
  <c r="O67" i="4"/>
  <c r="O66" i="4"/>
  <c r="O57" i="7" s="1"/>
  <c r="O59" i="7" s="1"/>
  <c r="Y67" i="4"/>
  <c r="Y66" i="4"/>
  <c r="Y57" i="7" s="1"/>
  <c r="Y59" i="7" s="1"/>
  <c r="V67" i="4"/>
  <c r="V66" i="4"/>
  <c r="V57" i="7" s="1"/>
  <c r="V59" i="7" s="1"/>
  <c r="U67" i="4"/>
  <c r="U66" i="4"/>
  <c r="U57" i="7" s="1"/>
  <c r="U59" i="7" s="1"/>
  <c r="I66" i="4"/>
  <c r="I57" i="7" s="1"/>
  <c r="I59" i="7" s="1"/>
  <c r="I67" i="4"/>
  <c r="M19" i="4"/>
  <c r="M18" i="4"/>
  <c r="M9" i="7" s="1"/>
  <c r="M11" i="7" s="1"/>
  <c r="AA19" i="4"/>
  <c r="AA18" i="4"/>
  <c r="AA9" i="7" s="1"/>
  <c r="AA11" i="7" s="1"/>
  <c r="J19" i="4"/>
  <c r="J18" i="4"/>
  <c r="J9" i="7" s="1"/>
  <c r="J11" i="7" s="1"/>
  <c r="AJ43" i="4"/>
  <c r="AJ42" i="4"/>
  <c r="AJ33" i="7" s="1"/>
  <c r="AJ35" i="7" s="1"/>
  <c r="AH67" i="4"/>
  <c r="AH66" i="4"/>
  <c r="AH57" i="7" s="1"/>
  <c r="AH59" i="7" s="1"/>
  <c r="AA67" i="4"/>
  <c r="AA66" i="4"/>
  <c r="AA57" i="7" s="1"/>
  <c r="AA59" i="7" s="1"/>
  <c r="W18" i="4"/>
  <c r="W9" i="7" s="1"/>
  <c r="W11" i="7" s="1"/>
  <c r="W19" i="4"/>
  <c r="Z19" i="4"/>
  <c r="Z18" i="4"/>
  <c r="Z9" i="7" s="1"/>
  <c r="Z11" i="7" s="1"/>
  <c r="X18" i="4"/>
  <c r="X9" i="7" s="1"/>
  <c r="X11" i="7" s="1"/>
  <c r="X19" i="4"/>
  <c r="V19" i="4"/>
  <c r="V18" i="4"/>
  <c r="V9" i="7" s="1"/>
  <c r="V11" i="7" s="1"/>
  <c r="AD19" i="4"/>
  <c r="AD18" i="4"/>
  <c r="AD9" i="7" s="1"/>
  <c r="AD11" i="7" s="1"/>
  <c r="N19" i="4"/>
  <c r="N18" i="4"/>
  <c r="N9" i="7" s="1"/>
  <c r="N11" i="7" s="1"/>
  <c r="L67" i="4"/>
  <c r="L66" i="4"/>
  <c r="L57" i="7" s="1"/>
  <c r="L59" i="7" s="1"/>
  <c r="AK67" i="4"/>
  <c r="AK66" i="4"/>
  <c r="AK57" i="7" s="1"/>
  <c r="AK59" i="7" s="1"/>
  <c r="N42" i="4"/>
  <c r="N33" i="7" s="1"/>
  <c r="N35" i="7" s="1"/>
  <c r="N43" i="4"/>
  <c r="M43" i="4"/>
  <c r="M42" i="4"/>
  <c r="M33" i="7" s="1"/>
  <c r="M35" i="7" s="1"/>
  <c r="AL43" i="4"/>
  <c r="AL42" i="4"/>
  <c r="AL33" i="7" s="1"/>
  <c r="AL35" i="7" s="1"/>
  <c r="E42" i="4"/>
  <c r="E33" i="7" s="1"/>
  <c r="E35" i="7" s="1"/>
  <c r="E43" i="4"/>
  <c r="U43" i="4"/>
  <c r="U42" i="4"/>
  <c r="U33" i="7" s="1"/>
  <c r="U35" i="7" s="1"/>
  <c r="Q43" i="4"/>
  <c r="Q42" i="4"/>
  <c r="Q33" i="7" s="1"/>
  <c r="Q35" i="7" s="1"/>
  <c r="D41" i="4"/>
  <c r="G9" i="5"/>
  <c r="X43" i="4"/>
  <c r="X42" i="4"/>
  <c r="X33" i="7" s="1"/>
  <c r="X35" i="7" s="1"/>
  <c r="R42" i="4"/>
  <c r="R33" i="7" s="1"/>
  <c r="R35" i="7" s="1"/>
  <c r="R43" i="4"/>
  <c r="F19" i="4"/>
  <c r="F18" i="4"/>
  <c r="F9" i="7" s="1"/>
  <c r="F11" i="7" s="1"/>
  <c r="U19" i="4"/>
  <c r="U18" i="4"/>
  <c r="U9" i="7" s="1"/>
  <c r="U11" i="7" s="1"/>
  <c r="AH43" i="4"/>
  <c r="AH42" i="4"/>
  <c r="AH33" i="7" s="1"/>
  <c r="AH35" i="7" s="1"/>
  <c r="AC41" i="4"/>
  <c r="I9" i="5"/>
  <c r="I15" i="5" s="1"/>
  <c r="R65" i="4"/>
  <c r="K9" i="5"/>
  <c r="K10" i="5" s="1"/>
  <c r="K17" i="1" s="1"/>
  <c r="N65" i="4"/>
  <c r="J9" i="5"/>
  <c r="V43" i="4"/>
  <c r="V42" i="4"/>
  <c r="V33" i="7" s="1"/>
  <c r="V35" i="7" s="1"/>
  <c r="AM19" i="4"/>
  <c r="AM18" i="4"/>
  <c r="AM9" i="7" s="1"/>
  <c r="AM11" i="7" s="1"/>
  <c r="W43" i="4"/>
  <c r="W42" i="4"/>
  <c r="W33" i="7" s="1"/>
  <c r="W35" i="7" s="1"/>
  <c r="I19" i="4"/>
  <c r="I18" i="4"/>
  <c r="I9" i="7" s="1"/>
  <c r="I11" i="7" s="1"/>
  <c r="AL19" i="4"/>
  <c r="AL18" i="4"/>
  <c r="AL9" i="7" s="1"/>
  <c r="AL11" i="7" s="1"/>
  <c r="H9" i="5"/>
  <c r="T41" i="4"/>
  <c r="Y42" i="4"/>
  <c r="Y33" i="7" s="1"/>
  <c r="Y35" i="7" s="1"/>
  <c r="Y43" i="4"/>
  <c r="AD42" i="4"/>
  <c r="AD33" i="7" s="1"/>
  <c r="AD35" i="7" s="1"/>
  <c r="AD43" i="4"/>
  <c r="AJ19" i="4"/>
  <c r="AJ18" i="4"/>
  <c r="AJ9" i="7" s="1"/>
  <c r="AJ11" i="7" s="1"/>
  <c r="F67" i="4"/>
  <c r="F66" i="4"/>
  <c r="F57" i="7" s="1"/>
  <c r="F59" i="7" s="1"/>
  <c r="AC17" i="4"/>
  <c r="F9" i="5"/>
  <c r="P67" i="4"/>
  <c r="P66" i="4"/>
  <c r="P57" i="7" s="1"/>
  <c r="P59" i="7" s="1"/>
  <c r="D67" i="4"/>
  <c r="D66" i="4"/>
  <c r="D57" i="7" s="1"/>
  <c r="D59" i="7" s="1"/>
  <c r="D60" i="7" s="1"/>
  <c r="AB43" i="4"/>
  <c r="AB42" i="4"/>
  <c r="AB33" i="7" s="1"/>
  <c r="AB35" i="7" s="1"/>
  <c r="P43" i="4"/>
  <c r="P42" i="4"/>
  <c r="P33" i="7" s="1"/>
  <c r="P35" i="7" s="1"/>
  <c r="AB65" i="4"/>
  <c r="L9" i="5"/>
  <c r="E9" i="5"/>
  <c r="P17" i="4"/>
  <c r="D9" i="5"/>
  <c r="D17" i="4"/>
  <c r="F42" i="4"/>
  <c r="F33" i="7" s="1"/>
  <c r="F35" i="7" s="1"/>
  <c r="F43" i="4"/>
  <c r="AF18" i="4"/>
  <c r="AF9" i="7" s="1"/>
  <c r="AF11" i="7" s="1"/>
  <c r="AF19" i="4"/>
  <c r="I10" i="5" l="1"/>
  <c r="I17" i="1" s="1"/>
  <c r="I16" i="1"/>
  <c r="R66" i="4"/>
  <c r="R57" i="7" s="1"/>
  <c r="R59" i="7" s="1"/>
  <c r="R67" i="4"/>
  <c r="K15" i="5"/>
  <c r="K16" i="1"/>
  <c r="D42" i="4"/>
  <c r="D33" i="7" s="1"/>
  <c r="D35" i="7" s="1"/>
  <c r="D36" i="7" s="1"/>
  <c r="E36" i="7" s="1"/>
  <c r="F36" i="7" s="1"/>
  <c r="D43" i="4"/>
  <c r="G15" i="5"/>
  <c r="G16" i="1"/>
  <c r="G10" i="5"/>
  <c r="G17" i="1" s="1"/>
  <c r="AC42" i="4"/>
  <c r="AC33" i="7" s="1"/>
  <c r="AC35" i="7" s="1"/>
  <c r="AC43" i="4"/>
  <c r="N67" i="4"/>
  <c r="N66" i="4"/>
  <c r="N57" i="7" s="1"/>
  <c r="N59" i="7" s="1"/>
  <c r="J10" i="5"/>
  <c r="J17" i="1" s="1"/>
  <c r="J16" i="1"/>
  <c r="J15" i="5"/>
  <c r="T42" i="4"/>
  <c r="T33" i="7" s="1"/>
  <c r="T35" i="7" s="1"/>
  <c r="T43" i="4"/>
  <c r="H10" i="5"/>
  <c r="H17" i="1" s="1"/>
  <c r="H16" i="1"/>
  <c r="H15" i="5"/>
  <c r="AC19" i="4"/>
  <c r="AC18" i="4"/>
  <c r="AC9" i="7" s="1"/>
  <c r="AC11" i="7" s="1"/>
  <c r="F15" i="5"/>
  <c r="F16" i="1"/>
  <c r="F10" i="5"/>
  <c r="F17" i="1" s="1"/>
  <c r="E60" i="7"/>
  <c r="I16" i="5"/>
  <c r="I10" i="1" s="1"/>
  <c r="I9" i="1"/>
  <c r="AB67" i="4"/>
  <c r="AB66" i="4"/>
  <c r="AB57" i="7" s="1"/>
  <c r="AB59" i="7" s="1"/>
  <c r="L10" i="5"/>
  <c r="L17" i="1" s="1"/>
  <c r="L15" i="5"/>
  <c r="L16" i="1"/>
  <c r="E10" i="5"/>
  <c r="E17" i="1" s="1"/>
  <c r="E15" i="5"/>
  <c r="E16" i="1"/>
  <c r="P19" i="4"/>
  <c r="P18" i="4"/>
  <c r="P9" i="7" s="1"/>
  <c r="P11" i="7" s="1"/>
  <c r="D10" i="5"/>
  <c r="D17" i="1" s="1"/>
  <c r="D16" i="1"/>
  <c r="D15" i="5"/>
  <c r="D19" i="4"/>
  <c r="D18" i="4"/>
  <c r="D9" i="7" s="1"/>
  <c r="D11" i="7" s="1"/>
  <c r="D12" i="7" s="1"/>
  <c r="F7" i="9" l="1"/>
  <c r="K16" i="5"/>
  <c r="K10" i="1" s="1"/>
  <c r="K9" i="1"/>
  <c r="I18" i="6"/>
  <c r="G16" i="5"/>
  <c r="G10" i="1" s="1"/>
  <c r="G9" i="1"/>
  <c r="L18" i="6"/>
  <c r="G18" i="6"/>
  <c r="H18" i="6"/>
  <c r="J18" i="6"/>
  <c r="K18" i="6"/>
  <c r="J9" i="1"/>
  <c r="J16" i="5"/>
  <c r="J10" i="1" s="1"/>
  <c r="H16" i="5"/>
  <c r="H10" i="1" s="1"/>
  <c r="H9" i="1"/>
  <c r="E7" i="9"/>
  <c r="F16" i="5"/>
  <c r="F10" i="1" s="1"/>
  <c r="F9" i="1"/>
  <c r="F60" i="7"/>
  <c r="L16" i="5"/>
  <c r="L10" i="1" s="1"/>
  <c r="L9" i="1"/>
  <c r="E16" i="5"/>
  <c r="E10" i="1" s="1"/>
  <c r="E9" i="1"/>
  <c r="D16" i="5"/>
  <c r="D10" i="1" s="1"/>
  <c r="D9" i="1"/>
  <c r="D7" i="9"/>
  <c r="E18" i="6"/>
  <c r="F18" i="6"/>
  <c r="D18" i="6"/>
  <c r="E12" i="7"/>
  <c r="G36" i="7"/>
  <c r="G60" i="7" l="1"/>
  <c r="F12" i="7"/>
  <c r="H36" i="7"/>
  <c r="H60" i="7" l="1"/>
  <c r="G12" i="7"/>
  <c r="I36" i="7"/>
  <c r="I60" i="7" l="1"/>
  <c r="H12" i="7"/>
  <c r="J36" i="7"/>
  <c r="J60" i="7" l="1"/>
  <c r="I12" i="7"/>
  <c r="K36" i="7"/>
  <c r="K60" i="7" l="1"/>
  <c r="J12" i="7"/>
  <c r="L36" i="7"/>
  <c r="L60" i="7" l="1"/>
  <c r="K12" i="7"/>
  <c r="M36" i="7"/>
  <c r="M60" i="7" l="1"/>
  <c r="L12" i="7"/>
  <c r="N36" i="7"/>
  <c r="N60" i="7" l="1"/>
  <c r="M12" i="7"/>
  <c r="O36" i="7"/>
  <c r="O60" i="7" l="1"/>
  <c r="N12" i="7"/>
  <c r="P36" i="7"/>
  <c r="G11" i="1"/>
  <c r="P60" i="7" l="1"/>
  <c r="J11" i="1"/>
  <c r="O12" i="7"/>
  <c r="Q36" i="7"/>
  <c r="Q60" i="7" l="1"/>
  <c r="P12" i="7"/>
  <c r="D11" i="1"/>
  <c r="R36" i="7"/>
  <c r="R60" i="7" l="1"/>
  <c r="Q12" i="7"/>
  <c r="S36" i="7"/>
  <c r="S60" i="7" l="1"/>
  <c r="R12" i="7"/>
  <c r="T36" i="7"/>
  <c r="T60" i="7" l="1"/>
  <c r="S12" i="7"/>
  <c r="U36" i="7"/>
  <c r="U60" i="7" l="1"/>
  <c r="T12" i="7"/>
  <c r="V36" i="7"/>
  <c r="V60" i="7" l="1"/>
  <c r="U12" i="7"/>
  <c r="W36" i="7"/>
  <c r="W60" i="7" l="1"/>
  <c r="V12" i="7"/>
  <c r="X36" i="7"/>
  <c r="X60" i="7" l="1"/>
  <c r="W12" i="7"/>
  <c r="Y36" i="7"/>
  <c r="Y60" i="7" l="1"/>
  <c r="X12" i="7"/>
  <c r="Z36" i="7"/>
  <c r="Z60" i="7" l="1"/>
  <c r="Y12" i="7"/>
  <c r="AA36" i="7"/>
  <c r="AA60" i="7" l="1"/>
  <c r="Z12" i="7"/>
  <c r="AB36" i="7"/>
  <c r="H11" i="1"/>
  <c r="AB60" i="7" l="1"/>
  <c r="K11" i="1"/>
  <c r="AA12" i="7"/>
  <c r="AC36" i="7"/>
  <c r="AC60" i="7" l="1"/>
  <c r="E11" i="1"/>
  <c r="AB12" i="7"/>
  <c r="AD36" i="7"/>
  <c r="AD60" i="7" l="1"/>
  <c r="AC12" i="7"/>
  <c r="AE36" i="7"/>
  <c r="AE60" i="7" l="1"/>
  <c r="AD12" i="7"/>
  <c r="AF36" i="7"/>
  <c r="AF60" i="7" l="1"/>
  <c r="AE12" i="7"/>
  <c r="AG36" i="7"/>
  <c r="AG60" i="7" l="1"/>
  <c r="AF12" i="7"/>
  <c r="AH36" i="7"/>
  <c r="AH60" i="7" l="1"/>
  <c r="AG12" i="7"/>
  <c r="AI36" i="7"/>
  <c r="AI60" i="7" l="1"/>
  <c r="AH12" i="7"/>
  <c r="AJ36" i="7"/>
  <c r="AJ60" i="7" l="1"/>
  <c r="AI12" i="7"/>
  <c r="AK36" i="7"/>
  <c r="AK60" i="7" l="1"/>
  <c r="AJ12" i="7"/>
  <c r="AL36" i="7"/>
  <c r="AL60" i="7" l="1"/>
  <c r="AK12" i="7"/>
  <c r="AM36" i="7"/>
  <c r="AM60" i="7" l="1"/>
  <c r="AL12" i="7"/>
  <c r="E8" i="8"/>
  <c r="E7" i="8"/>
  <c r="E10" i="8"/>
  <c r="I11" i="1"/>
  <c r="F8" i="8" l="1"/>
  <c r="F7" i="8"/>
  <c r="F10" i="8"/>
  <c r="L11" i="1"/>
  <c r="AM12" i="7"/>
  <c r="E11" i="8"/>
  <c r="G17" i="6"/>
  <c r="G19" i="6" s="1"/>
  <c r="H17" i="6"/>
  <c r="H19" i="6" s="1"/>
  <c r="I17" i="6"/>
  <c r="I19" i="6" s="1"/>
  <c r="D37" i="7"/>
  <c r="F11" i="8" l="1"/>
  <c r="J17" i="6"/>
  <c r="J19" i="6" s="1"/>
  <c r="K17" i="6"/>
  <c r="K19" i="6" s="1"/>
  <c r="L17" i="6"/>
  <c r="L19" i="6" s="1"/>
  <c r="D61" i="7"/>
  <c r="D7" i="8"/>
  <c r="D8" i="8"/>
  <c r="D10" i="8"/>
  <c r="F11" i="1"/>
  <c r="AM38" i="7"/>
  <c r="AL38" i="7"/>
  <c r="AL40" i="7" s="1"/>
  <c r="AK38" i="7"/>
  <c r="AK40" i="7" s="1"/>
  <c r="AJ38" i="7"/>
  <c r="AJ40" i="7" s="1"/>
  <c r="AI38" i="7"/>
  <c r="AI40" i="7" s="1"/>
  <c r="AH38" i="7"/>
  <c r="AH40" i="7" s="1"/>
  <c r="AG38" i="7"/>
  <c r="AG40" i="7" s="1"/>
  <c r="AF38" i="7"/>
  <c r="AF40" i="7" s="1"/>
  <c r="AE38" i="7"/>
  <c r="AE40" i="7" s="1"/>
  <c r="AD38" i="7"/>
  <c r="AD40" i="7" s="1"/>
  <c r="AC38" i="7"/>
  <c r="AC40" i="7" s="1"/>
  <c r="AB38" i="7"/>
  <c r="AB40" i="7" s="1"/>
  <c r="AA38" i="7"/>
  <c r="Z38" i="7"/>
  <c r="Z40" i="7" s="1"/>
  <c r="Y38" i="7"/>
  <c r="Y40" i="7" s="1"/>
  <c r="X38" i="7"/>
  <c r="X40" i="7" s="1"/>
  <c r="W38" i="7"/>
  <c r="W40" i="7" s="1"/>
  <c r="V38" i="7"/>
  <c r="V40" i="7" s="1"/>
  <c r="U38" i="7"/>
  <c r="U40" i="7" s="1"/>
  <c r="T38" i="7"/>
  <c r="T40" i="7" s="1"/>
  <c r="S38" i="7"/>
  <c r="S40" i="7" s="1"/>
  <c r="R38" i="7"/>
  <c r="R40" i="7" s="1"/>
  <c r="Q38" i="7"/>
  <c r="Q40" i="7" s="1"/>
  <c r="P38" i="7"/>
  <c r="P40" i="7" s="1"/>
  <c r="O38" i="7"/>
  <c r="N38" i="7"/>
  <c r="N40" i="7" s="1"/>
  <c r="M38" i="7"/>
  <c r="M40" i="7" s="1"/>
  <c r="L38" i="7"/>
  <c r="L40" i="7" s="1"/>
  <c r="K38" i="7"/>
  <c r="K40" i="7" s="1"/>
  <c r="J38" i="7"/>
  <c r="J40" i="7" s="1"/>
  <c r="I38" i="7"/>
  <c r="I40" i="7" s="1"/>
  <c r="H38" i="7"/>
  <c r="H40" i="7" s="1"/>
  <c r="G38" i="7"/>
  <c r="G40" i="7" s="1"/>
  <c r="F38" i="7"/>
  <c r="F40" i="7" s="1"/>
  <c r="D38" i="7"/>
  <c r="D40" i="7" s="1"/>
  <c r="E38" i="7"/>
  <c r="E40" i="7" s="1"/>
  <c r="AM62" i="7" l="1"/>
  <c r="AL62" i="7"/>
  <c r="AL64" i="7" s="1"/>
  <c r="AK62" i="7"/>
  <c r="AK64" i="7" s="1"/>
  <c r="AJ62" i="7"/>
  <c r="AJ64" i="7" s="1"/>
  <c r="AI62" i="7"/>
  <c r="AI64" i="7" s="1"/>
  <c r="AH62" i="7"/>
  <c r="AH64" i="7" s="1"/>
  <c r="AG62" i="7"/>
  <c r="AG64" i="7" s="1"/>
  <c r="AF62" i="7"/>
  <c r="AF64" i="7" s="1"/>
  <c r="AE62" i="7"/>
  <c r="AE64" i="7" s="1"/>
  <c r="AD62" i="7"/>
  <c r="AD64" i="7" s="1"/>
  <c r="AC62" i="7"/>
  <c r="AC64" i="7" s="1"/>
  <c r="AB62" i="7"/>
  <c r="AB64" i="7" s="1"/>
  <c r="AA62" i="7"/>
  <c r="Z62" i="7"/>
  <c r="Z64" i="7" s="1"/>
  <c r="Y62" i="7"/>
  <c r="Y64" i="7" s="1"/>
  <c r="X62" i="7"/>
  <c r="X64" i="7" s="1"/>
  <c r="W62" i="7"/>
  <c r="W64" i="7" s="1"/>
  <c r="V62" i="7"/>
  <c r="V64" i="7" s="1"/>
  <c r="U62" i="7"/>
  <c r="U64" i="7" s="1"/>
  <c r="T62" i="7"/>
  <c r="T64" i="7" s="1"/>
  <c r="S62" i="7"/>
  <c r="S64" i="7" s="1"/>
  <c r="R62" i="7"/>
  <c r="R64" i="7" s="1"/>
  <c r="Q62" i="7"/>
  <c r="Q64" i="7" s="1"/>
  <c r="P62" i="7"/>
  <c r="P64" i="7" s="1"/>
  <c r="O62" i="7"/>
  <c r="N62" i="7"/>
  <c r="N64" i="7" s="1"/>
  <c r="M62" i="7"/>
  <c r="M64" i="7" s="1"/>
  <c r="L62" i="7"/>
  <c r="L64" i="7" s="1"/>
  <c r="K62" i="7"/>
  <c r="K64" i="7" s="1"/>
  <c r="J62" i="7"/>
  <c r="J64" i="7" s="1"/>
  <c r="I62" i="7"/>
  <c r="I64" i="7" s="1"/>
  <c r="H62" i="7"/>
  <c r="H64" i="7" s="1"/>
  <c r="G62" i="7"/>
  <c r="G64" i="7" s="1"/>
  <c r="F62" i="7"/>
  <c r="F64" i="7" s="1"/>
  <c r="E62" i="7"/>
  <c r="E64" i="7" s="1"/>
  <c r="D62" i="7"/>
  <c r="D64" i="7" s="1"/>
  <c r="D11" i="8"/>
  <c r="D13" i="7"/>
  <c r="E17" i="6"/>
  <c r="E19" i="6" s="1"/>
  <c r="D17" i="6"/>
  <c r="D19" i="6" s="1"/>
  <c r="F17" i="6"/>
  <c r="F19" i="6" s="1"/>
  <c r="I8" i="6"/>
  <c r="I13" i="6" s="1"/>
  <c r="I21" i="6" s="1"/>
  <c r="I12" i="1"/>
  <c r="AM40" i="7"/>
  <c r="H8" i="6"/>
  <c r="H13" i="6" s="1"/>
  <c r="H21" i="6" s="1"/>
  <c r="H12" i="1"/>
  <c r="AA40" i="7"/>
  <c r="G8" i="6"/>
  <c r="G13" i="6" s="1"/>
  <c r="G21" i="6" s="1"/>
  <c r="G12" i="1"/>
  <c r="O40" i="7"/>
  <c r="E9" i="9" l="1"/>
  <c r="E8" i="9"/>
  <c r="L8" i="6"/>
  <c r="L13" i="6" s="1"/>
  <c r="L21" i="6" s="1"/>
  <c r="L12" i="1"/>
  <c r="AM64" i="7"/>
  <c r="K8" i="6"/>
  <c r="K13" i="6" s="1"/>
  <c r="K21" i="6" s="1"/>
  <c r="AA64" i="7"/>
  <c r="K12" i="1"/>
  <c r="J8" i="6"/>
  <c r="J13" i="6" s="1"/>
  <c r="J21" i="6" s="1"/>
  <c r="J12" i="1"/>
  <c r="O64" i="7"/>
  <c r="AM14" i="7"/>
  <c r="AL14" i="7"/>
  <c r="AL16" i="7" s="1"/>
  <c r="AK14" i="7"/>
  <c r="AK16" i="7" s="1"/>
  <c r="AJ14" i="7"/>
  <c r="AJ16" i="7" s="1"/>
  <c r="AI14" i="7"/>
  <c r="AI16" i="7" s="1"/>
  <c r="AH14" i="7"/>
  <c r="AH16" i="7" s="1"/>
  <c r="AG14" i="7"/>
  <c r="AG16" i="7" s="1"/>
  <c r="AF14" i="7"/>
  <c r="AF16" i="7" s="1"/>
  <c r="AE14" i="7"/>
  <c r="AE16" i="7" s="1"/>
  <c r="AD14" i="7"/>
  <c r="AD16" i="7" s="1"/>
  <c r="AC14" i="7"/>
  <c r="AC16" i="7" s="1"/>
  <c r="AB14" i="7"/>
  <c r="AB16" i="7" s="1"/>
  <c r="AA14" i="7"/>
  <c r="Z14" i="7"/>
  <c r="Z16" i="7" s="1"/>
  <c r="Y14" i="7"/>
  <c r="Y16" i="7" s="1"/>
  <c r="X14" i="7"/>
  <c r="X16" i="7" s="1"/>
  <c r="W14" i="7"/>
  <c r="W16" i="7" s="1"/>
  <c r="V14" i="7"/>
  <c r="V16" i="7" s="1"/>
  <c r="U14" i="7"/>
  <c r="U16" i="7" s="1"/>
  <c r="T14" i="7"/>
  <c r="T16" i="7" s="1"/>
  <c r="S14" i="7"/>
  <c r="S16" i="7" s="1"/>
  <c r="R14" i="7"/>
  <c r="R16" i="7" s="1"/>
  <c r="Q14" i="7"/>
  <c r="Q16" i="7" s="1"/>
  <c r="P14" i="7"/>
  <c r="P16" i="7" s="1"/>
  <c r="O14" i="7"/>
  <c r="N14" i="7"/>
  <c r="N16" i="7" s="1"/>
  <c r="M14" i="7"/>
  <c r="M16" i="7" s="1"/>
  <c r="L14" i="7"/>
  <c r="L16" i="7" s="1"/>
  <c r="K14" i="7"/>
  <c r="K16" i="7" s="1"/>
  <c r="J14" i="7"/>
  <c r="J16" i="7" s="1"/>
  <c r="I14" i="7"/>
  <c r="I16" i="7" s="1"/>
  <c r="H14" i="7"/>
  <c r="H16" i="7" s="1"/>
  <c r="G14" i="7"/>
  <c r="G16" i="7" s="1"/>
  <c r="F14" i="7"/>
  <c r="F16" i="7" s="1"/>
  <c r="E14" i="7"/>
  <c r="E16" i="7" s="1"/>
  <c r="D14" i="7"/>
  <c r="D16" i="7" s="1"/>
  <c r="E13" i="9" l="1"/>
  <c r="F8" i="9"/>
  <c r="F8" i="6"/>
  <c r="F13" i="6" s="1"/>
  <c r="F21" i="6" s="1"/>
  <c r="F12" i="1"/>
  <c r="AM16" i="7"/>
  <c r="E8" i="6"/>
  <c r="E13" i="6" s="1"/>
  <c r="E21" i="6" s="1"/>
  <c r="E12" i="1"/>
  <c r="AA16" i="7"/>
  <c r="D12" i="1"/>
  <c r="O16" i="7"/>
  <c r="D8" i="6"/>
  <c r="D13" i="6" s="1"/>
  <c r="D21" i="6" s="1"/>
  <c r="F9" i="9"/>
  <c r="F13" i="9" l="1"/>
  <c r="D9" i="9"/>
  <c r="D8" i="9"/>
  <c r="D13" i="9" l="1"/>
</calcChain>
</file>

<file path=xl/sharedStrings.xml><?xml version="1.0" encoding="utf-8"?>
<sst xmlns="http://schemas.openxmlformats.org/spreadsheetml/2006/main" count="367" uniqueCount="218">
  <si>
    <t>年度情景</t>
  </si>
  <si>
    <t>基准 2027</t>
  </si>
  <si>
    <t>基准 2028</t>
  </si>
  <si>
    <t>基准 2029</t>
  </si>
  <si>
    <t>悲观 2027</t>
  </si>
  <si>
    <t>悲观 2028</t>
  </si>
  <si>
    <t>悲观 2029</t>
  </si>
  <si>
    <t>积极 2027</t>
  </si>
  <si>
    <t>积极 2028</t>
  </si>
  <si>
    <t>积极 2029</t>
  </si>
  <si>
    <t>机构服务收入</t>
  </si>
  <si>
    <t>总费用（含折旧/税费预算）</t>
  </si>
  <si>
    <t>经营损益</t>
  </si>
  <si>
    <t>期末现金（未覆盖缺口）</t>
  </si>
  <si>
    <t>期末现金（假设缺口已覆盖）</t>
  </si>
  <si>
    <t>交付合同数</t>
  </si>
  <si>
    <t>交付总工时</t>
  </si>
  <si>
    <t>外部增援工时</t>
  </si>
  <si>
    <t>直接成本</t>
  </si>
  <si>
    <t>服务贡献（收入减直接成本）</t>
  </si>
  <si>
    <t>税费预算预留</t>
  </si>
  <si>
    <t>机构收入是服务合同交付测算；完整软件免费。未记录真实客户、试点或商业收入。</t>
  </si>
  <si>
    <t>现金负数表示未覆盖资金缺口，不能作为真实银行余额；填补缺口的资金来源尚未承诺。</t>
  </si>
  <si>
    <t>税费是收入比例预算预留，非税法计算；法定主体、纳税资格及实际税费仍待确认。</t>
  </si>
  <si>
    <t>输入蓝色；同表公式黑色；跨表公式绿色。Assumptions与Revenue月度分布可调整。</t>
  </si>
  <si>
    <t>假设ID / 输入</t>
  </si>
  <si>
    <t>说明</t>
  </si>
  <si>
    <t>基准</t>
  </si>
  <si>
    <t>悲观</t>
  </si>
  <si>
    <t>积极</t>
  </si>
  <si>
    <t>单位</t>
  </si>
  <si>
    <t>口径与待确认事项</t>
  </si>
  <si>
    <t>A01</t>
  </si>
  <si>
    <t>2027合同数</t>
  </si>
  <si>
    <t>份</t>
  </si>
  <si>
    <t>单次范围明确的课程试点/培训/配置支持服务；未签合同</t>
  </si>
  <si>
    <t>A02</t>
  </si>
  <si>
    <t>2028合同数</t>
  </si>
  <si>
    <t>不自动假设续约；全部为当年交付合同</t>
  </si>
  <si>
    <t>A03</t>
  </si>
  <si>
    <t>2029合同数</t>
  </si>
  <si>
    <t>可触达客户名单与转化均待验证</t>
  </si>
  <si>
    <t>A04</t>
  </si>
  <si>
    <t>每合同含税总预算</t>
  </si>
  <si>
    <t>元/份</t>
  </si>
  <si>
    <t>示例均价；具体机构须逐项报价</t>
  </si>
  <si>
    <t>A05</t>
  </si>
  <si>
    <t>每合同交付工时</t>
  </si>
  <si>
    <t>小时/份</t>
  </si>
  <si>
    <t>备课、培训、安装配置、支持；不含固定核心工作</t>
  </si>
  <si>
    <t>A06</t>
  </si>
  <si>
    <t>交付内部工时预算</t>
  </si>
  <si>
    <t>元/小时</t>
  </si>
  <si>
    <t>交付专项报酬；不与固定核心工作工时重叠</t>
  </si>
  <si>
    <t>A07</t>
  </si>
  <si>
    <t>外部增援工时预算</t>
  </si>
  <si>
    <t>超出学生团队交付工时的外包预算；尚未聘用</t>
  </si>
  <si>
    <t>A08</t>
  </si>
  <si>
    <t>每合同输入Token</t>
  </si>
  <si>
    <t>百万Token</t>
  </si>
  <si>
    <t>额度上限规划；没有整班实测</t>
  </si>
  <si>
    <t>A09</t>
  </si>
  <si>
    <t>每合同输出Token</t>
  </si>
  <si>
    <t>包含重试的预算假设，非实测消费</t>
  </si>
  <si>
    <t>A10</t>
  </si>
  <si>
    <t>输入Token预算单价</t>
  </si>
  <si>
    <t>元/百万Token</t>
  </si>
  <si>
    <t>保守预算假设，非供应商报价；需按实际模型替换</t>
  </si>
  <si>
    <t>A11</t>
  </si>
  <si>
    <t>输出Token预算单价</t>
  </si>
  <si>
    <t>预算假设；客户自带API时另行报价</t>
  </si>
  <si>
    <t>A12</t>
  </si>
  <si>
    <t>每合同其他直接成本</t>
  </si>
  <si>
    <t>交通、资料及现场配置耗材预算</t>
  </si>
  <si>
    <t>A13</t>
  </si>
  <si>
    <t>2名等效人力的固定核心报酬预算</t>
  </si>
  <si>
    <t>元/月</t>
  </si>
  <si>
    <t>产品维护/教研通用素材/销售；未获用户确认，非既有工资</t>
  </si>
  <si>
    <t>A14</t>
  </si>
  <si>
    <t>每月固定运营费</t>
  </si>
  <si>
    <t>研发模型、网络云服务、行政等预留；不含合同模型额度</t>
  </si>
  <si>
    <t>A15</t>
  </si>
  <si>
    <t>初期设备投入</t>
  </si>
  <si>
    <t>元</t>
  </si>
  <si>
    <t>2027年1月；未发生，非历史投入</t>
  </si>
  <si>
    <t>A16</t>
  </si>
  <si>
    <t>设备折旧期</t>
  </si>
  <si>
    <t>月</t>
  </si>
  <si>
    <t>零残值，直线法示例政策，非会计师确认</t>
  </si>
  <si>
    <t>A17</t>
  </si>
  <si>
    <t>期初自有资金</t>
  </si>
  <si>
    <t>规划假设；未有真实承诺或到账</t>
  </si>
  <si>
    <t>A18</t>
  </si>
  <si>
    <t>最低现金储备</t>
  </si>
  <si>
    <t>示例流动性目标；不是融资承诺</t>
  </si>
  <si>
    <t>A19</t>
  </si>
  <si>
    <t>当月收款比例</t>
  </si>
  <si>
    <t>比例</t>
  </si>
  <si>
    <t>余款下一月收取；无坏账仅为简化；采购延期需另测</t>
  </si>
  <si>
    <t>A20</t>
  </si>
  <si>
    <t>税费现金预算预留</t>
  </si>
  <si>
    <t>收入比例</t>
  </si>
  <si>
    <t>管理预算，计费用及当月现金流；不是法定税率，不构成税务结论</t>
  </si>
  <si>
    <t>A21</t>
  </si>
  <si>
    <t>等效人力每月可用工时合计</t>
  </si>
  <si>
    <t>小时/月</t>
  </si>
  <si>
    <t>按2名等效人力各120小时测算；实际投入待验证</t>
  </si>
  <si>
    <t>A22</t>
  </si>
  <si>
    <t>固定核心工作工时合计</t>
  </si>
  <si>
    <t>按2名等效人力各80小时测算；对应固定核心报酬，独立于合同交付</t>
  </si>
  <si>
    <t>A23</t>
  </si>
  <si>
    <t>每月外部增援上限</t>
  </si>
  <si>
    <t>按项目招募预算，未聘用；超出则拒绝接单/改期</t>
  </si>
  <si>
    <t>所有蓝色数值为可调规划假设；无历史收入、试点、客户或真实资金凭证。</t>
  </si>
  <si>
    <t>工时隔离：固定核心160小时/月；交付可用80小时/月；超出部分按外部增援工时预算计费。</t>
  </si>
  <si>
    <t>软件完整免费；机构收入仅来自范围明确的服务与模型预算；班级管理和计费平台未作为现售能力。</t>
  </si>
  <si>
    <t>月度分布权重（可调）</t>
  </si>
  <si>
    <t>合同交付数量</t>
  </si>
  <si>
    <t>当月收款</t>
  </si>
  <si>
    <t>期末应收</t>
  </si>
  <si>
    <t>交付工时</t>
  </si>
  <si>
    <t>内部交付工时</t>
  </si>
  <si>
    <t>交付能力余量</t>
  </si>
  <si>
    <t>合同分配整数差额</t>
  </si>
  <si>
    <t>模型预算</t>
  </si>
  <si>
    <t>内部交付报酬</t>
  </si>
  <si>
    <t>外部增援预算</t>
  </si>
  <si>
    <t>其他直接费用</t>
  </si>
  <si>
    <t>直接成本小计</t>
  </si>
  <si>
    <t>固定核心报酬</t>
  </si>
  <si>
    <t>固定运营费</t>
  </si>
  <si>
    <t>设备资本支出</t>
  </si>
  <si>
    <t>设备折旧</t>
  </si>
  <si>
    <t>总费用（含折旧）</t>
  </si>
  <si>
    <t>现金费用（不含折旧）</t>
  </si>
  <si>
    <t>固定核心工时</t>
  </si>
  <si>
    <t>内部可用交付工时</t>
  </si>
  <si>
    <t>外部增援上限</t>
  </si>
  <si>
    <t>直接交付成本</t>
  </si>
  <si>
    <t>服务贡献</t>
  </si>
  <si>
    <t>总费用</t>
  </si>
  <si>
    <t>现金（假设缺口已覆盖）</t>
  </si>
  <si>
    <t>应收机构款</t>
  </si>
  <si>
    <t>设备原值</t>
  </si>
  <si>
    <t>累计折旧</t>
  </si>
  <si>
    <t>设备净值</t>
  </si>
  <si>
    <t>资产合计</t>
  </si>
  <si>
    <t>负债（本模型无借款）</t>
  </si>
  <si>
    <t>期初自有资金（未承诺）</t>
  </si>
  <si>
    <t>假设追加资金（未承诺）</t>
  </si>
  <si>
    <t>累计经营损益</t>
  </si>
  <si>
    <t>负债及权益合计</t>
  </si>
  <si>
    <t>资产减负债及权益</t>
  </si>
  <si>
    <t>现金费用</t>
  </si>
  <si>
    <t>设备支出</t>
  </si>
  <si>
    <t>经营及投资净现金</t>
  </si>
  <si>
    <t>最低储备</t>
  </si>
  <si>
    <t>储备差额</t>
  </si>
  <si>
    <t>资金测算</t>
  </si>
  <si>
    <t>峰值现金缺口（不含储备）</t>
  </si>
  <si>
    <t>追加资金需求（含储备）</t>
  </si>
  <si>
    <t>最低储备目标</t>
  </si>
  <si>
    <t>三年最低未覆盖现金余额</t>
  </si>
  <si>
    <t>假设总资金来源</t>
  </si>
  <si>
    <t>借款/股权安排</t>
  </si>
  <si>
    <t>未提出/未承诺</t>
  </si>
  <si>
    <t>边界</t>
  </si>
  <si>
    <t>追加资金仅用于说明现金缺口与储备；假设在2027年1月全额填补，便于三表勾稽。</t>
  </si>
  <si>
    <t>正式融资方式、到账时间和条件待确认；不能把假设追加资金写成已融资。</t>
  </si>
  <si>
    <t>无既有债务、利息、股权比例与已注册公司事实；未建借款计划。</t>
  </si>
  <si>
    <t>勾稽 / 边界</t>
  </si>
  <si>
    <t>年度收入与月度收入差额</t>
  </si>
  <si>
    <t>年度费用与月度费用差额</t>
  </si>
  <si>
    <t>资产负债表最大差额</t>
  </si>
  <si>
    <t>假设资金覆盖后储备差额</t>
  </si>
  <si>
    <t>最低交付能力余量</t>
  </si>
  <si>
    <t>团队固定工时余量</t>
  </si>
  <si>
    <t>合同数年度对照差额</t>
  </si>
  <si>
    <t>核心检查</t>
  </si>
  <si>
    <t>必要输入有效性</t>
  </si>
  <si>
    <t>合同月度分配整数差额</t>
  </si>
  <si>
    <t>来源ID</t>
  </si>
  <si>
    <t>类型/支持范围</t>
  </si>
  <si>
    <t>来源或链接</t>
  </si>
  <si>
    <t>查阅日期</t>
  </si>
  <si>
    <t>S01</t>
  </si>
  <si>
    <t>项目事实</t>
  </si>
  <si>
    <t>2026-10-03</t>
  </si>
  <si>
    <t>S02</t>
  </si>
  <si>
    <t>定位与商业模式</t>
  </si>
  <si>
    <t>教育、完整产品免费、机构联系报价；历史调研材料</t>
  </si>
  <si>
    <t>S03</t>
  </si>
  <si>
    <t>竞品机构报价路径</t>
  </si>
  <si>
    <t>https://blocksbuilder.ai/pricing</t>
  </si>
  <si>
    <t>2026-10-02</t>
  </si>
  <si>
    <t>引用项目调研来源，未本轮复查；不提供Blocky价格</t>
  </si>
  <si>
    <t>S04</t>
  </si>
  <si>
    <t>全部A01–A23</t>
  </si>
  <si>
    <t>S05</t>
  </si>
  <si>
    <t>团队产品说明（2026-10-03）</t>
    <phoneticPr fontId="9" type="noConversion"/>
  </si>
  <si>
    <t>已交付产品能力；工程能力不等同学校采用或教学效果</t>
    <phoneticPr fontId="9" type="noConversion"/>
  </si>
  <si>
    <t>团队市场与竞品研究（2026-10-02）</t>
    <phoneticPr fontId="9" type="noConversion"/>
  </si>
  <si>
    <t>团队经营规划假设，待市场与财务验证</t>
    <phoneticPr fontId="9" type="noConversion"/>
  </si>
  <si>
    <t>全部销量、单价、成本、报酬与资金为示例假设</t>
    <phoneticPr fontId="9" type="noConversion"/>
  </si>
  <si>
    <t>财务测算结构</t>
    <phoneticPr fontId="9" type="noConversion"/>
  </si>
  <si>
    <t>三年年度视图与36个月现金流</t>
    <phoneticPr fontId="9" type="noConversion"/>
  </si>
  <si>
    <t>财务规划模型，不作为审计报表；公司主体及纳税资格待确认</t>
    <phoneticPr fontId="9" type="noConversion"/>
  </si>
  <si>
    <t>Blocky Studio | 财务汇总</t>
    <phoneticPr fontId="9" type="noConversion"/>
  </si>
  <si>
    <t>人民币 · 2027–2029示例测算</t>
    <phoneticPr fontId="9" type="noConversion"/>
  </si>
  <si>
    <t>Blocky Studio | 规划假设</t>
    <phoneticPr fontId="9" type="noConversion"/>
  </si>
  <si>
    <t>Blocky Studio | 规划损益</t>
    <phoneticPr fontId="9" type="noConversion"/>
  </si>
  <si>
    <t>Blocky Studio | 模拟资产负债</t>
    <phoneticPr fontId="9" type="noConversion"/>
  </si>
  <si>
    <t>Blocky Studio | 资金缺口</t>
    <phoneticPr fontId="9" type="noConversion"/>
  </si>
  <si>
    <t>Blocky Studio | 财务检查</t>
    <phoneticPr fontId="9" type="noConversion"/>
  </si>
  <si>
    <t>Blocky Studio | 来源与边界</t>
    <phoneticPr fontId="9" type="noConversion"/>
  </si>
  <si>
    <t>Blocky | 机构服务收入</t>
    <phoneticPr fontId="9" type="noConversion"/>
  </si>
  <si>
    <t>Blocky | 成本与工时</t>
    <phoneticPr fontId="9" type="noConversion"/>
  </si>
  <si>
    <t>Blocky | 月度现金流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</si>
</sst>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(#,##0\);&quot;–&quot;"/>
    <numFmt numFmtId="177" formatCode="0.0%"/>
    <numFmt numFmtId="178" formatCode="yyyy\-mm"/>
    <numFmt numFmtId="179" formatCode="0.00;\(0.00\);0.00"/>
  </numFmts>
  <fonts count="14">
    <font>
      <sz val="11"/>
      <color theme="1"/>
      <name val="宋体"/>
      <family val="2"/>
      <scheme val="minor"/>
    </font>
    <font>
      <b/>
      <sz val="15"/>
      <name val="Microsoft YaHei"/>
      <family val="2"/>
      <charset val="134"/>
    </font>
    <font>
      <i/>
      <sz val="10"/>
      <name val="Microsoft YaHei"/>
      <family val="2"/>
      <charset val="134"/>
    </font>
    <font>
      <sz val="10"/>
      <color rgb="FF222222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0000FF"/>
      <name val="Microsoft YaHei"/>
      <family val="2"/>
      <charset val="134"/>
    </font>
    <font>
      <sz val="10"/>
      <color rgb="FF008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rgb="FF008000"/>
      <name val="Microsoft YaHei"/>
      <family val="2"/>
      <charset val="134"/>
    </font>
    <font>
      <sz val="11"/>
      <color rgb="FF000000"/>
      <name val="宋体"/>
      <family val="2"/>
      <scheme val="minor"/>
    </font>
    <font>
      <b/>
      <sz val="15"/>
      <color rgb="FF000000"/>
      <name val="Microsoft YaHei"/>
      <family val="2"/>
      <charset val="134"/>
    </font>
    <font>
      <i/>
      <sz val="10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73A5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76" fontId="4" fillId="2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8" fillId="0" borderId="0" xfId="0" applyFont="1"/>
    <xf numFmtId="176" fontId="5" fillId="3" borderId="0" xfId="0" applyNumberFormat="1" applyFont="1" applyFill="1" applyAlignment="1">
      <alignment vertical="center"/>
    </xf>
    <xf numFmtId="176" fontId="3" fillId="0" borderId="0" xfId="0" applyNumberFormat="1" applyFont="1" applyAlignment="1">
      <alignment vertical="top" wrapText="1"/>
    </xf>
    <xf numFmtId="177" fontId="5" fillId="3" borderId="0" xfId="0" applyNumberFormat="1" applyFont="1" applyFill="1" applyAlignment="1">
      <alignment vertical="center"/>
    </xf>
    <xf numFmtId="178" fontId="4" fillId="2" borderId="0" xfId="0" applyNumberFormat="1" applyFont="1" applyFill="1" applyAlignment="1">
      <alignment horizontal="center" vertical="center" wrapText="1"/>
    </xf>
    <xf numFmtId="176" fontId="7" fillId="0" borderId="0" xfId="0" applyNumberFormat="1" applyFont="1" applyAlignment="1">
      <alignment vertical="center"/>
    </xf>
    <xf numFmtId="179" fontId="6" fillId="0" borderId="0" xfId="0" applyNumberFormat="1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23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12" ht="23.1" customHeight="1"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3:12" ht="23.1" customHeight="1">
      <c r="C2" s="15" t="s">
        <v>207</v>
      </c>
      <c r="D2" s="14"/>
      <c r="E2" s="14"/>
      <c r="F2" s="14"/>
      <c r="G2" s="14"/>
      <c r="H2" s="14"/>
      <c r="I2" s="14"/>
      <c r="J2" s="14"/>
      <c r="K2" s="14"/>
      <c r="L2" s="14"/>
    </row>
    <row r="3" spans="3:12" ht="23.1" customHeight="1">
      <c r="C3" s="16" t="s">
        <v>208</v>
      </c>
      <c r="D3" s="14"/>
      <c r="E3" s="14"/>
      <c r="F3" s="14"/>
      <c r="G3" s="14"/>
      <c r="H3" s="14"/>
      <c r="I3" s="14"/>
      <c r="J3" s="14"/>
      <c r="K3" s="14"/>
      <c r="L3" s="14"/>
    </row>
    <row r="4" spans="3:12" ht="23.1" customHeight="1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3:12" ht="23.1" customHeight="1"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3:12" ht="30" customHeight="1"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</row>
    <row r="7" spans="3:12" ht="23.1" customHeight="1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3:12" ht="23.1" customHeight="1">
      <c r="C8" s="11" t="s">
        <v>10</v>
      </c>
      <c r="D8" s="11">
        <f>'Income Statement'!D8</f>
        <v>72000</v>
      </c>
      <c r="E8" s="11">
        <f>'Income Statement'!E8</f>
        <v>180000</v>
      </c>
      <c r="F8" s="11">
        <f>'Income Statement'!F8</f>
        <v>324000</v>
      </c>
      <c r="G8" s="11">
        <f>'Income Statement'!G8</f>
        <v>30000</v>
      </c>
      <c r="H8" s="11">
        <f>'Income Statement'!H8</f>
        <v>60000</v>
      </c>
      <c r="I8" s="11">
        <f>'Income Statement'!I8</f>
        <v>90000</v>
      </c>
      <c r="J8" s="11">
        <f>'Income Statement'!J8</f>
        <v>132000</v>
      </c>
      <c r="K8" s="11">
        <f>'Income Statement'!K8</f>
        <v>308000</v>
      </c>
      <c r="L8" s="11">
        <f>'Income Statement'!L8</f>
        <v>528000</v>
      </c>
    </row>
    <row r="9" spans="3:12" ht="23.1" customHeight="1">
      <c r="C9" s="11" t="s">
        <v>11</v>
      </c>
      <c r="D9" s="11">
        <f>'Income Statement'!D15</f>
        <v>132640</v>
      </c>
      <c r="E9" s="11">
        <f>'Income Statement'!E15</f>
        <v>188400</v>
      </c>
      <c r="F9" s="11">
        <f>'Income Statement'!F15</f>
        <v>269680</v>
      </c>
      <c r="G9" s="11">
        <f>'Income Statement'!G15</f>
        <v>125200</v>
      </c>
      <c r="H9" s="11">
        <f>'Income Statement'!H15</f>
        <v>152800</v>
      </c>
      <c r="I9" s="11">
        <f>'Income Statement'!I15</f>
        <v>180400</v>
      </c>
      <c r="J9" s="11">
        <f>'Income Statement'!J15</f>
        <v>180940</v>
      </c>
      <c r="K9" s="11">
        <f>'Income Statement'!K15</f>
        <v>254860</v>
      </c>
      <c r="L9" s="11">
        <f>'Income Statement'!L15</f>
        <v>351760</v>
      </c>
    </row>
    <row r="10" spans="3:12" ht="23.1" customHeight="1">
      <c r="C10" s="11" t="s">
        <v>12</v>
      </c>
      <c r="D10" s="11">
        <f>'Income Statement'!D16</f>
        <v>-60640</v>
      </c>
      <c r="E10" s="11">
        <f>'Income Statement'!E16</f>
        <v>-8400</v>
      </c>
      <c r="F10" s="11">
        <f>'Income Statement'!F16</f>
        <v>54320</v>
      </c>
      <c r="G10" s="11">
        <f>'Income Statement'!G16</f>
        <v>-95200</v>
      </c>
      <c r="H10" s="11">
        <f>'Income Statement'!H16</f>
        <v>-92800</v>
      </c>
      <c r="I10" s="11">
        <f>'Income Statement'!I16</f>
        <v>-90400</v>
      </c>
      <c r="J10" s="11">
        <f>'Income Statement'!J16</f>
        <v>-48940</v>
      </c>
      <c r="K10" s="11">
        <f>'Income Statement'!K16</f>
        <v>53140</v>
      </c>
      <c r="L10" s="11">
        <f>'Income Statement'!L16</f>
        <v>176240</v>
      </c>
    </row>
    <row r="11" spans="3:12" ht="23.1" customHeight="1">
      <c r="C11" s="11" t="s">
        <v>13</v>
      </c>
      <c r="D11" s="11">
        <f>'Cash Flow'!O12</f>
        <v>-48640</v>
      </c>
      <c r="E11" s="11">
        <f>'Cash Flow'!AA12</f>
        <v>-62040</v>
      </c>
      <c r="F11" s="11">
        <f>'Cash Flow'!AM12</f>
        <v>-3720</v>
      </c>
      <c r="G11" s="11">
        <f>'Cash Flow'!O36</f>
        <v>-83200</v>
      </c>
      <c r="H11" s="11">
        <f>'Cash Flow'!AA36</f>
        <v>-172000</v>
      </c>
      <c r="I11" s="11">
        <f>'Cash Flow'!AM36</f>
        <v>-258400</v>
      </c>
      <c r="J11" s="11">
        <f>'Cash Flow'!O60</f>
        <v>-36940</v>
      </c>
      <c r="K11" s="11">
        <f>'Cash Flow'!AA60</f>
        <v>9200</v>
      </c>
      <c r="L11" s="11">
        <f>'Cash Flow'!AM60</f>
        <v>178440</v>
      </c>
    </row>
    <row r="12" spans="3:12" ht="23.1" customHeight="1">
      <c r="C12" s="11" t="s">
        <v>14</v>
      </c>
      <c r="D12" s="11">
        <f>'Cash Flow'!O14</f>
        <v>54360</v>
      </c>
      <c r="E12" s="11">
        <f>'Cash Flow'!AA14</f>
        <v>40960</v>
      </c>
      <c r="F12" s="11">
        <f>'Cash Flow'!AM14</f>
        <v>99280</v>
      </c>
      <c r="G12" s="11">
        <f>'Cash Flow'!O38</f>
        <v>197900</v>
      </c>
      <c r="H12" s="11">
        <f>'Cash Flow'!AA38</f>
        <v>109100</v>
      </c>
      <c r="I12" s="11">
        <f>'Cash Flow'!AM38</f>
        <v>22700</v>
      </c>
      <c r="J12" s="11">
        <f>'Cash Flow'!O62</f>
        <v>38490</v>
      </c>
      <c r="K12" s="11">
        <f>'Cash Flow'!AA62</f>
        <v>84630</v>
      </c>
      <c r="L12" s="11">
        <f>'Cash Flow'!AM62</f>
        <v>253870</v>
      </c>
    </row>
    <row r="13" spans="3:12" ht="23.1" customHeight="1">
      <c r="C13" s="11" t="s">
        <v>15</v>
      </c>
      <c r="D13" s="11">
        <f>SUM(Revenue!D8:O8)</f>
        <v>4</v>
      </c>
      <c r="E13" s="11">
        <f>SUM(Revenue!P8:AA8)</f>
        <v>10</v>
      </c>
      <c r="F13" s="11">
        <f>SUM(Revenue!AB8:AM8)</f>
        <v>18</v>
      </c>
      <c r="G13" s="11">
        <f>SUM(Revenue!D26:O26)</f>
        <v>2</v>
      </c>
      <c r="H13" s="11">
        <f>SUM(Revenue!P26:AA26)</f>
        <v>4</v>
      </c>
      <c r="I13" s="11">
        <f>SUM(Revenue!AB26:AM26)</f>
        <v>6</v>
      </c>
      <c r="J13" s="11">
        <f>SUM(Revenue!D44:O44)</f>
        <v>6</v>
      </c>
      <c r="K13" s="11">
        <f>SUM(Revenue!P44:AA44)</f>
        <v>14</v>
      </c>
      <c r="L13" s="11">
        <f>SUM(Revenue!AB44:AM44)</f>
        <v>24</v>
      </c>
    </row>
    <row r="14" spans="3:12" ht="23.1" customHeight="1">
      <c r="C14" s="11" t="s">
        <v>16</v>
      </c>
      <c r="D14" s="11">
        <f>SUM(Revenue!D12:O12)</f>
        <v>320</v>
      </c>
      <c r="E14" s="11">
        <f>SUM(Revenue!P12:AA12)</f>
        <v>800</v>
      </c>
      <c r="F14" s="11">
        <f>SUM(Revenue!AB12:AM12)</f>
        <v>1440</v>
      </c>
      <c r="G14" s="11">
        <f>SUM(Revenue!D30:O30)</f>
        <v>200</v>
      </c>
      <c r="H14" s="11">
        <f>SUM(Revenue!P30:AA30)</f>
        <v>400</v>
      </c>
      <c r="I14" s="11">
        <f>SUM(Revenue!AB30:AM30)</f>
        <v>600</v>
      </c>
      <c r="J14" s="11">
        <f>SUM(Revenue!D48:O48)</f>
        <v>420</v>
      </c>
      <c r="K14" s="11">
        <f>SUM(Revenue!P48:AA48)</f>
        <v>980</v>
      </c>
      <c r="L14" s="11">
        <f>SUM(Revenue!AB48:AM48)</f>
        <v>1680</v>
      </c>
    </row>
    <row r="15" spans="3:12" ht="23.1" customHeight="1">
      <c r="C15" s="11" t="s">
        <v>17</v>
      </c>
      <c r="D15" s="11">
        <f>SUM(Revenue!D14:O14)</f>
        <v>0</v>
      </c>
      <c r="E15" s="11">
        <f>SUM(Revenue!P14:AA14)</f>
        <v>160</v>
      </c>
      <c r="F15" s="11">
        <f>SUM(Revenue!AB14:AM14)</f>
        <v>720</v>
      </c>
      <c r="G15" s="11">
        <f>SUM(Revenue!D32:O32)</f>
        <v>40</v>
      </c>
      <c r="H15" s="11">
        <f>SUM(Revenue!P32:AA32)</f>
        <v>80</v>
      </c>
      <c r="I15" s="11">
        <f>SUM(Revenue!AB32:AM32)</f>
        <v>120</v>
      </c>
      <c r="J15" s="11">
        <f>SUM(Revenue!D50:O50)</f>
        <v>0</v>
      </c>
      <c r="K15" s="11">
        <f>SUM(Revenue!P50:AA50)</f>
        <v>300</v>
      </c>
      <c r="L15" s="11">
        <f>SUM(Revenue!AB50:AM50)</f>
        <v>900</v>
      </c>
    </row>
    <row r="16" spans="3:12" ht="23.1" customHeight="1">
      <c r="C16" s="11" t="s">
        <v>18</v>
      </c>
      <c r="D16" s="11">
        <f>'Income Statement'!D9</f>
        <v>33600</v>
      </c>
      <c r="E16" s="11">
        <f>'Income Statement'!E9</f>
        <v>87200</v>
      </c>
      <c r="F16" s="11">
        <f>'Income Statement'!F9</f>
        <v>165600</v>
      </c>
      <c r="G16" s="11">
        <f>'Income Statement'!G9</f>
        <v>26700</v>
      </c>
      <c r="H16" s="11">
        <f>'Income Statement'!H9</f>
        <v>53400</v>
      </c>
      <c r="I16" s="11">
        <f>'Income Statement'!I9</f>
        <v>80100</v>
      </c>
      <c r="J16" s="11">
        <f>'Income Statement'!J9</f>
        <v>48300</v>
      </c>
      <c r="K16" s="11">
        <f>'Income Statement'!K9</f>
        <v>118700</v>
      </c>
      <c r="L16" s="11">
        <f>'Income Statement'!L9</f>
        <v>211200</v>
      </c>
    </row>
    <row r="17" spans="3:12" ht="23.1" customHeight="1">
      <c r="C17" s="11" t="s">
        <v>19</v>
      </c>
      <c r="D17" s="11">
        <f>'Income Statement'!D10</f>
        <v>38400</v>
      </c>
      <c r="E17" s="11">
        <f>'Income Statement'!E10</f>
        <v>92800</v>
      </c>
      <c r="F17" s="11">
        <f>'Income Statement'!F10</f>
        <v>158400</v>
      </c>
      <c r="G17" s="11">
        <f>'Income Statement'!G10</f>
        <v>3300</v>
      </c>
      <c r="H17" s="11">
        <f>'Income Statement'!H10</f>
        <v>6600</v>
      </c>
      <c r="I17" s="11">
        <f>'Income Statement'!I10</f>
        <v>9900</v>
      </c>
      <c r="J17" s="11">
        <f>'Income Statement'!J10</f>
        <v>83700</v>
      </c>
      <c r="K17" s="11">
        <f>'Income Statement'!K10</f>
        <v>189300</v>
      </c>
      <c r="L17" s="11">
        <f>'Income Statement'!L10</f>
        <v>316800</v>
      </c>
    </row>
    <row r="18" spans="3:12" ht="23.1" customHeight="1">
      <c r="C18" s="11" t="s">
        <v>20</v>
      </c>
      <c r="D18" s="11">
        <f>'Income Statement'!D13</f>
        <v>1440</v>
      </c>
      <c r="E18" s="11">
        <f>'Income Statement'!E13</f>
        <v>3600</v>
      </c>
      <c r="F18" s="11">
        <f>'Income Statement'!F13</f>
        <v>6480</v>
      </c>
      <c r="G18" s="11">
        <f>'Income Statement'!G13</f>
        <v>900</v>
      </c>
      <c r="H18" s="11">
        <f>'Income Statement'!H13</f>
        <v>1800</v>
      </c>
      <c r="I18" s="11">
        <f>'Income Statement'!I13</f>
        <v>2700</v>
      </c>
      <c r="J18" s="11">
        <f>'Income Statement'!J13</f>
        <v>2640</v>
      </c>
      <c r="K18" s="11">
        <f>'Income Statement'!K13</f>
        <v>6160</v>
      </c>
      <c r="L18" s="11">
        <f>'Income Statement'!L13</f>
        <v>10560</v>
      </c>
    </row>
    <row r="19" spans="3:12" ht="23.1" customHeight="1"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3:12" ht="23.1" customHeight="1">
      <c r="C20" s="17" t="s">
        <v>21</v>
      </c>
      <c r="D20" s="14"/>
      <c r="E20" s="14"/>
      <c r="F20" s="14"/>
      <c r="G20" s="14"/>
      <c r="H20" s="14"/>
      <c r="I20" s="14"/>
      <c r="J20" s="14"/>
      <c r="K20" s="14"/>
      <c r="L20" s="14"/>
    </row>
    <row r="21" spans="3:12" ht="23.1" customHeight="1">
      <c r="C21" s="17" t="s">
        <v>22</v>
      </c>
      <c r="D21" s="14"/>
      <c r="E21" s="14"/>
      <c r="F21" s="14"/>
      <c r="G21" s="14"/>
      <c r="H21" s="14"/>
      <c r="I21" s="14"/>
      <c r="J21" s="14"/>
      <c r="K21" s="14"/>
      <c r="L21" s="14"/>
    </row>
    <row r="22" spans="3:12" ht="23.1" customHeight="1">
      <c r="C22" s="17" t="s">
        <v>23</v>
      </c>
      <c r="D22" s="14"/>
      <c r="E22" s="14"/>
      <c r="F22" s="14"/>
      <c r="G22" s="14"/>
      <c r="H22" s="14"/>
      <c r="I22" s="14"/>
      <c r="J22" s="14"/>
      <c r="K22" s="14"/>
      <c r="L22" s="14"/>
    </row>
    <row r="23" spans="3:12" ht="23.1" customHeight="1">
      <c r="C23" s="17" t="s">
        <v>24</v>
      </c>
      <c r="D23" s="14"/>
      <c r="E23" s="14"/>
      <c r="F23" s="14"/>
      <c r="G23" s="14"/>
      <c r="H23" s="14"/>
      <c r="I23" s="14"/>
      <c r="J23" s="14"/>
      <c r="K23" s="14"/>
      <c r="L23" s="14"/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3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" width="28" customWidth="1"/>
    <col min="5" max="7" width="14" customWidth="1"/>
    <col min="8" max="8" width="19" customWidth="1"/>
    <col min="9" max="9" width="76" customWidth="1"/>
    <col min="10" max="41" width="14" customWidth="1"/>
  </cols>
  <sheetData>
    <row r="1" spans="3:9" ht="23.1" customHeight="1"/>
    <row r="2" spans="3:9" ht="23.1" customHeight="1">
      <c r="C2" s="1" t="s">
        <v>209</v>
      </c>
    </row>
    <row r="3" spans="3:9" ht="23.1" customHeight="1">
      <c r="C3" s="2" t="s">
        <v>208</v>
      </c>
    </row>
    <row r="4" spans="3:9" ht="23.1" customHeight="1"/>
    <row r="5" spans="3:9" ht="23.1" customHeight="1"/>
    <row r="6" spans="3:9" ht="23.1" customHeight="1"/>
    <row r="7" spans="3:9" ht="23.1" customHeight="1"/>
    <row r="8" spans="3:9" ht="30" customHeight="1"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31</v>
      </c>
    </row>
    <row r="9" spans="3:9" ht="23.1" customHeight="1"/>
    <row r="10" spans="3:9" ht="38.1" customHeight="1">
      <c r="C10" s="4" t="s">
        <v>32</v>
      </c>
      <c r="D10" s="4" t="s">
        <v>33</v>
      </c>
      <c r="E10" s="7">
        <v>4</v>
      </c>
      <c r="F10" s="7">
        <v>2</v>
      </c>
      <c r="G10" s="7">
        <v>6</v>
      </c>
      <c r="H10" s="4" t="s">
        <v>34</v>
      </c>
      <c r="I10" s="8" t="s">
        <v>35</v>
      </c>
    </row>
    <row r="11" spans="3:9" ht="38.1" customHeight="1">
      <c r="C11" s="4" t="s">
        <v>36</v>
      </c>
      <c r="D11" s="4" t="s">
        <v>37</v>
      </c>
      <c r="E11" s="7">
        <v>10</v>
      </c>
      <c r="F11" s="7">
        <v>4</v>
      </c>
      <c r="G11" s="7">
        <v>14</v>
      </c>
      <c r="H11" s="4" t="s">
        <v>34</v>
      </c>
      <c r="I11" s="8" t="s">
        <v>38</v>
      </c>
    </row>
    <row r="12" spans="3:9" ht="38.1" customHeight="1">
      <c r="C12" s="4" t="s">
        <v>39</v>
      </c>
      <c r="D12" s="4" t="s">
        <v>40</v>
      </c>
      <c r="E12" s="7">
        <v>18</v>
      </c>
      <c r="F12" s="7">
        <v>6</v>
      </c>
      <c r="G12" s="7">
        <v>24</v>
      </c>
      <c r="H12" s="4" t="s">
        <v>34</v>
      </c>
      <c r="I12" s="8" t="s">
        <v>41</v>
      </c>
    </row>
    <row r="13" spans="3:9" ht="38.1" customHeight="1">
      <c r="C13" s="4" t="s">
        <v>42</v>
      </c>
      <c r="D13" s="4" t="s">
        <v>43</v>
      </c>
      <c r="E13" s="7">
        <v>18000</v>
      </c>
      <c r="F13" s="7">
        <v>15000</v>
      </c>
      <c r="G13" s="7">
        <v>22000</v>
      </c>
      <c r="H13" s="4" t="s">
        <v>44</v>
      </c>
      <c r="I13" s="8" t="s">
        <v>45</v>
      </c>
    </row>
    <row r="14" spans="3:9" ht="38.1" customHeight="1">
      <c r="C14" s="4" t="s">
        <v>46</v>
      </c>
      <c r="D14" s="4" t="s">
        <v>47</v>
      </c>
      <c r="E14" s="7">
        <v>80</v>
      </c>
      <c r="F14" s="7">
        <v>100</v>
      </c>
      <c r="G14" s="7">
        <v>70</v>
      </c>
      <c r="H14" s="4" t="s">
        <v>48</v>
      </c>
      <c r="I14" s="8" t="s">
        <v>49</v>
      </c>
    </row>
    <row r="15" spans="3:9" ht="38.1" customHeight="1">
      <c r="C15" s="4" t="s">
        <v>50</v>
      </c>
      <c r="D15" s="4" t="s">
        <v>51</v>
      </c>
      <c r="E15" s="7">
        <v>80</v>
      </c>
      <c r="F15" s="7">
        <v>90</v>
      </c>
      <c r="G15" s="7">
        <v>80</v>
      </c>
      <c r="H15" s="4" t="s">
        <v>52</v>
      </c>
      <c r="I15" s="8" t="s">
        <v>53</v>
      </c>
    </row>
    <row r="16" spans="3:9" ht="38.1" customHeight="1">
      <c r="C16" s="4" t="s">
        <v>54</v>
      </c>
      <c r="D16" s="4" t="s">
        <v>55</v>
      </c>
      <c r="E16" s="7">
        <v>100</v>
      </c>
      <c r="F16" s="7">
        <v>110</v>
      </c>
      <c r="G16" s="7">
        <v>100</v>
      </c>
      <c r="H16" s="4" t="s">
        <v>52</v>
      </c>
      <c r="I16" s="8" t="s">
        <v>56</v>
      </c>
    </row>
    <row r="17" spans="3:9" ht="38.1" customHeight="1">
      <c r="C17" s="4" t="s">
        <v>57</v>
      </c>
      <c r="D17" s="4" t="s">
        <v>58</v>
      </c>
      <c r="E17" s="7">
        <v>80</v>
      </c>
      <c r="F17" s="7">
        <v>120</v>
      </c>
      <c r="G17" s="7">
        <v>100</v>
      </c>
      <c r="H17" s="4" t="s">
        <v>59</v>
      </c>
      <c r="I17" s="8" t="s">
        <v>60</v>
      </c>
    </row>
    <row r="18" spans="3:9" ht="38.1" customHeight="1">
      <c r="C18" s="4" t="s">
        <v>61</v>
      </c>
      <c r="D18" s="4" t="s">
        <v>62</v>
      </c>
      <c r="E18" s="7">
        <v>20</v>
      </c>
      <c r="F18" s="7">
        <v>30</v>
      </c>
      <c r="G18" s="7">
        <v>25</v>
      </c>
      <c r="H18" s="4" t="s">
        <v>59</v>
      </c>
      <c r="I18" s="8" t="s">
        <v>63</v>
      </c>
    </row>
    <row r="19" spans="3:9" ht="38.1" customHeight="1">
      <c r="C19" s="4" t="s">
        <v>64</v>
      </c>
      <c r="D19" s="4" t="s">
        <v>65</v>
      </c>
      <c r="E19" s="7">
        <v>10</v>
      </c>
      <c r="F19" s="7">
        <v>15</v>
      </c>
      <c r="G19" s="7">
        <v>10</v>
      </c>
      <c r="H19" s="4" t="s">
        <v>66</v>
      </c>
      <c r="I19" s="8" t="s">
        <v>67</v>
      </c>
    </row>
    <row r="20" spans="3:9" ht="38.1" customHeight="1">
      <c r="C20" s="4" t="s">
        <v>68</v>
      </c>
      <c r="D20" s="4" t="s">
        <v>69</v>
      </c>
      <c r="E20" s="7">
        <v>30</v>
      </c>
      <c r="F20" s="7">
        <v>45</v>
      </c>
      <c r="G20" s="7">
        <v>30</v>
      </c>
      <c r="H20" s="4" t="s">
        <v>66</v>
      </c>
      <c r="I20" s="8" t="s">
        <v>70</v>
      </c>
    </row>
    <row r="21" spans="3:9" ht="38.1" customHeight="1">
      <c r="C21" s="4" t="s">
        <v>71</v>
      </c>
      <c r="D21" s="4" t="s">
        <v>72</v>
      </c>
      <c r="E21" s="7">
        <v>600</v>
      </c>
      <c r="F21" s="7">
        <v>800</v>
      </c>
      <c r="G21" s="7">
        <v>700</v>
      </c>
      <c r="H21" s="4" t="s">
        <v>44</v>
      </c>
      <c r="I21" s="8" t="s">
        <v>73</v>
      </c>
    </row>
    <row r="22" spans="3:9" ht="38.1" customHeight="1">
      <c r="C22" s="4" t="s">
        <v>74</v>
      </c>
      <c r="D22" s="4" t="s">
        <v>75</v>
      </c>
      <c r="E22" s="7">
        <v>6000</v>
      </c>
      <c r="F22" s="7">
        <v>6000</v>
      </c>
      <c r="G22" s="7">
        <v>8000</v>
      </c>
      <c r="H22" s="4" t="s">
        <v>76</v>
      </c>
      <c r="I22" s="8" t="s">
        <v>77</v>
      </c>
    </row>
    <row r="23" spans="3:9" ht="38.1" customHeight="1">
      <c r="C23" s="4" t="s">
        <v>78</v>
      </c>
      <c r="D23" s="4" t="s">
        <v>79</v>
      </c>
      <c r="E23" s="7">
        <v>1800</v>
      </c>
      <c r="F23" s="7">
        <v>1800</v>
      </c>
      <c r="G23" s="7">
        <v>2500</v>
      </c>
      <c r="H23" s="4" t="s">
        <v>76</v>
      </c>
      <c r="I23" s="8" t="s">
        <v>80</v>
      </c>
    </row>
    <row r="24" spans="3:9" ht="38.1" customHeight="1">
      <c r="C24" s="4" t="s">
        <v>81</v>
      </c>
      <c r="D24" s="4" t="s">
        <v>82</v>
      </c>
      <c r="E24" s="7">
        <v>12000</v>
      </c>
      <c r="F24" s="7">
        <v>12000</v>
      </c>
      <c r="G24" s="7">
        <v>12000</v>
      </c>
      <c r="H24" s="4" t="s">
        <v>83</v>
      </c>
      <c r="I24" s="8" t="s">
        <v>84</v>
      </c>
    </row>
    <row r="25" spans="3:9" ht="38.1" customHeight="1">
      <c r="C25" s="4" t="s">
        <v>85</v>
      </c>
      <c r="D25" s="4" t="s">
        <v>86</v>
      </c>
      <c r="E25" s="7">
        <v>36</v>
      </c>
      <c r="F25" s="7">
        <v>36</v>
      </c>
      <c r="G25" s="7">
        <v>36</v>
      </c>
      <c r="H25" s="4" t="s">
        <v>87</v>
      </c>
      <c r="I25" s="8" t="s">
        <v>88</v>
      </c>
    </row>
    <row r="26" spans="3:9" ht="38.1" customHeight="1">
      <c r="C26" s="4" t="s">
        <v>89</v>
      </c>
      <c r="D26" s="4" t="s">
        <v>90</v>
      </c>
      <c r="E26" s="7">
        <v>20000</v>
      </c>
      <c r="F26" s="7">
        <v>20000</v>
      </c>
      <c r="G26" s="7">
        <v>20000</v>
      </c>
      <c r="H26" s="4" t="s">
        <v>83</v>
      </c>
      <c r="I26" s="8" t="s">
        <v>91</v>
      </c>
    </row>
    <row r="27" spans="3:9" ht="38.1" customHeight="1">
      <c r="C27" s="4" t="s">
        <v>92</v>
      </c>
      <c r="D27" s="4" t="s">
        <v>93</v>
      </c>
      <c r="E27" s="7">
        <v>20000</v>
      </c>
      <c r="F27" s="7">
        <v>20000</v>
      </c>
      <c r="G27" s="7">
        <v>20000</v>
      </c>
      <c r="H27" s="4" t="s">
        <v>83</v>
      </c>
      <c r="I27" s="8" t="s">
        <v>94</v>
      </c>
    </row>
    <row r="28" spans="3:9" ht="38.1" customHeight="1">
      <c r="C28" s="4" t="s">
        <v>95</v>
      </c>
      <c r="D28" s="4" t="s">
        <v>96</v>
      </c>
      <c r="E28" s="9">
        <v>0.5</v>
      </c>
      <c r="F28" s="9">
        <v>0.3</v>
      </c>
      <c r="G28" s="9">
        <v>0.5</v>
      </c>
      <c r="H28" s="4" t="s">
        <v>97</v>
      </c>
      <c r="I28" s="8" t="s">
        <v>98</v>
      </c>
    </row>
    <row r="29" spans="3:9" ht="38.1" customHeight="1">
      <c r="C29" s="4" t="s">
        <v>99</v>
      </c>
      <c r="D29" s="4" t="s">
        <v>100</v>
      </c>
      <c r="E29" s="9">
        <v>0.02</v>
      </c>
      <c r="F29" s="9">
        <v>0.03</v>
      </c>
      <c r="G29" s="9">
        <v>0.02</v>
      </c>
      <c r="H29" s="4" t="s">
        <v>101</v>
      </c>
      <c r="I29" s="8" t="s">
        <v>102</v>
      </c>
    </row>
    <row r="30" spans="3:9" ht="38.1" customHeight="1">
      <c r="C30" s="4" t="s">
        <v>103</v>
      </c>
      <c r="D30" s="4" t="s">
        <v>104</v>
      </c>
      <c r="E30" s="7">
        <v>240</v>
      </c>
      <c r="F30" s="7">
        <v>240</v>
      </c>
      <c r="G30" s="7">
        <v>240</v>
      </c>
      <c r="H30" s="4" t="s">
        <v>105</v>
      </c>
      <c r="I30" s="8" t="s">
        <v>106</v>
      </c>
    </row>
    <row r="31" spans="3:9" ht="38.1" customHeight="1">
      <c r="C31" s="4" t="s">
        <v>107</v>
      </c>
      <c r="D31" s="4" t="s">
        <v>108</v>
      </c>
      <c r="E31" s="7">
        <v>160</v>
      </c>
      <c r="F31" s="7">
        <v>160</v>
      </c>
      <c r="G31" s="7">
        <v>160</v>
      </c>
      <c r="H31" s="4" t="s">
        <v>105</v>
      </c>
      <c r="I31" s="8" t="s">
        <v>109</v>
      </c>
    </row>
    <row r="32" spans="3:9" ht="38.1" customHeight="1">
      <c r="C32" s="4" t="s">
        <v>110</v>
      </c>
      <c r="D32" s="4" t="s">
        <v>111</v>
      </c>
      <c r="E32" s="7">
        <v>160</v>
      </c>
      <c r="F32" s="7">
        <v>160</v>
      </c>
      <c r="G32" s="7">
        <v>160</v>
      </c>
      <c r="H32" s="4" t="s">
        <v>105</v>
      </c>
      <c r="I32" s="8" t="s">
        <v>112</v>
      </c>
    </row>
    <row r="33" spans="3:3" ht="23.1" customHeight="1"/>
    <row r="34" spans="3:3" ht="23.1" customHeight="1"/>
    <row r="35" spans="3:3" ht="23.1" customHeight="1">
      <c r="C35" s="6" t="s">
        <v>113</v>
      </c>
    </row>
    <row r="36" spans="3:3" ht="23.1" customHeight="1">
      <c r="C36" s="6" t="s">
        <v>114</v>
      </c>
    </row>
    <row r="37" spans="3:3" ht="23.1" customHeight="1">
      <c r="C37" s="6" t="s">
        <v>115</v>
      </c>
    </row>
  </sheetData>
  <phoneticPr fontId="9" type="noConversion"/>
  <dataValidations count="1">
    <dataValidation type="decimal" operator="greaterThanOrEqual" showErrorMessage="1" errorTitle="输入必须非负" error="请填写有效非负数；价格、折旧期不能为零。" sqref="E10:G32" xr:uid="{00000000-0002-0000-0100-000000000000}">
      <formula1>0</formula1>
    </dataValidation>
  </dataValidations>
  <printOptions horizontalCentered="1"/>
  <pageMargins left="0.75" right="0.75" top="1" bottom="1" header="0.5" footer="0.5"/>
  <pageSetup paperSize="8" scale="60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M52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39" ht="23.1" customHeight="1"/>
    <row r="2" spans="3:39" ht="23.1" customHeight="1">
      <c r="C2" s="1" t="s">
        <v>215</v>
      </c>
    </row>
    <row r="3" spans="3:39" ht="23.1" customHeight="1">
      <c r="C3" s="2" t="s">
        <v>208</v>
      </c>
    </row>
    <row r="4" spans="3:39" ht="23.1" customHeight="1"/>
    <row r="5" spans="3:39" ht="23.1" customHeight="1"/>
    <row r="6" spans="3:39" ht="30" customHeight="1">
      <c r="C6" s="3" t="s">
        <v>27</v>
      </c>
      <c r="D6" s="10">
        <v>46388</v>
      </c>
      <c r="E6" s="10">
        <v>46419</v>
      </c>
      <c r="F6" s="10">
        <v>46447</v>
      </c>
      <c r="G6" s="10">
        <v>46478</v>
      </c>
      <c r="H6" s="10">
        <v>46508</v>
      </c>
      <c r="I6" s="10">
        <v>46539</v>
      </c>
      <c r="J6" s="10">
        <v>46569</v>
      </c>
      <c r="K6" s="10">
        <v>46600</v>
      </c>
      <c r="L6" s="10">
        <v>46631</v>
      </c>
      <c r="M6" s="10">
        <v>46661</v>
      </c>
      <c r="N6" s="10">
        <v>46692</v>
      </c>
      <c r="O6" s="10">
        <v>46722</v>
      </c>
      <c r="P6" s="10">
        <v>46753</v>
      </c>
      <c r="Q6" s="10">
        <v>46784</v>
      </c>
      <c r="R6" s="10">
        <v>46813</v>
      </c>
      <c r="S6" s="10">
        <v>46844</v>
      </c>
      <c r="T6" s="10">
        <v>46874</v>
      </c>
      <c r="U6" s="10">
        <v>46905</v>
      </c>
      <c r="V6" s="10">
        <v>46935</v>
      </c>
      <c r="W6" s="10">
        <v>46966</v>
      </c>
      <c r="X6" s="10">
        <v>46997</v>
      </c>
      <c r="Y6" s="10">
        <v>47027</v>
      </c>
      <c r="Z6" s="10">
        <v>47058</v>
      </c>
      <c r="AA6" s="10">
        <v>47088</v>
      </c>
      <c r="AB6" s="10">
        <v>47119</v>
      </c>
      <c r="AC6" s="10">
        <v>47150</v>
      </c>
      <c r="AD6" s="10">
        <v>47178</v>
      </c>
      <c r="AE6" s="10">
        <v>47209</v>
      </c>
      <c r="AF6" s="10">
        <v>47239</v>
      </c>
      <c r="AG6" s="10">
        <v>47270</v>
      </c>
      <c r="AH6" s="10">
        <v>47300</v>
      </c>
      <c r="AI6" s="10">
        <v>47331</v>
      </c>
      <c r="AJ6" s="10">
        <v>47362</v>
      </c>
      <c r="AK6" s="10">
        <v>47392</v>
      </c>
      <c r="AL6" s="10">
        <v>47423</v>
      </c>
      <c r="AM6" s="10">
        <v>47453</v>
      </c>
    </row>
    <row r="7" spans="3:39" ht="23.1" customHeight="1">
      <c r="C7" s="4" t="s">
        <v>116</v>
      </c>
      <c r="D7" s="7">
        <v>0</v>
      </c>
      <c r="E7" s="7">
        <v>0</v>
      </c>
      <c r="F7" s="7">
        <v>0</v>
      </c>
      <c r="G7" s="7">
        <v>1</v>
      </c>
      <c r="H7" s="7">
        <v>0</v>
      </c>
      <c r="I7" s="7">
        <v>1</v>
      </c>
      <c r="J7" s="7">
        <v>0</v>
      </c>
      <c r="K7" s="7">
        <v>0</v>
      </c>
      <c r="L7" s="7">
        <v>1</v>
      </c>
      <c r="M7" s="7">
        <v>1</v>
      </c>
      <c r="N7" s="7">
        <v>0</v>
      </c>
      <c r="O7" s="7">
        <v>0</v>
      </c>
      <c r="P7" s="7">
        <v>0</v>
      </c>
      <c r="Q7" s="7">
        <v>0</v>
      </c>
      <c r="R7" s="7">
        <v>1</v>
      </c>
      <c r="S7" s="7">
        <v>1</v>
      </c>
      <c r="T7" s="7">
        <v>1</v>
      </c>
      <c r="U7" s="7">
        <v>1</v>
      </c>
      <c r="V7" s="7">
        <v>0</v>
      </c>
      <c r="W7" s="7">
        <v>0</v>
      </c>
      <c r="X7" s="7">
        <v>2</v>
      </c>
      <c r="Y7" s="7">
        <v>2</v>
      </c>
      <c r="Z7" s="7">
        <v>1</v>
      </c>
      <c r="AA7" s="7">
        <v>1</v>
      </c>
      <c r="AB7" s="7">
        <v>0</v>
      </c>
      <c r="AC7" s="7">
        <v>1</v>
      </c>
      <c r="AD7" s="7">
        <v>2</v>
      </c>
      <c r="AE7" s="7">
        <v>2</v>
      </c>
      <c r="AF7" s="7">
        <v>2</v>
      </c>
      <c r="AG7" s="7">
        <v>2</v>
      </c>
      <c r="AH7" s="7">
        <v>0</v>
      </c>
      <c r="AI7" s="7">
        <v>0</v>
      </c>
      <c r="AJ7" s="7">
        <v>3</v>
      </c>
      <c r="AK7" s="7">
        <v>3</v>
      </c>
      <c r="AL7" s="7">
        <v>2</v>
      </c>
      <c r="AM7" s="7">
        <v>1</v>
      </c>
    </row>
    <row r="8" spans="3:39" ht="23.1" customHeight="1">
      <c r="C8" s="4" t="s">
        <v>117</v>
      </c>
      <c r="D8" s="5">
        <f>IF(SUM(D7:O7)=0,0,D7/SUM(D7:O7)*Assumptions!$E$10)</f>
        <v>0</v>
      </c>
      <c r="E8" s="5">
        <f>IF(SUM(D7:O7)=0,0,E7/SUM(D7:O7)*Assumptions!$E$10)</f>
        <v>0</v>
      </c>
      <c r="F8" s="5">
        <f>IF(SUM(D7:O7)=0,0,F7/SUM(D7:O7)*Assumptions!$E$10)</f>
        <v>0</v>
      </c>
      <c r="G8" s="5">
        <f>IF(SUM(D7:O7)=0,0,G7/SUM(D7:O7)*Assumptions!$E$10)</f>
        <v>1</v>
      </c>
      <c r="H8" s="5">
        <f>IF(SUM(D7:O7)=0,0,H7/SUM(D7:O7)*Assumptions!$E$10)</f>
        <v>0</v>
      </c>
      <c r="I8" s="5">
        <f>IF(SUM(D7:O7)=0,0,I7/SUM(D7:O7)*Assumptions!$E$10)</f>
        <v>1</v>
      </c>
      <c r="J8" s="5">
        <f>IF(SUM(D7:O7)=0,0,J7/SUM(D7:O7)*Assumptions!$E$10)</f>
        <v>0</v>
      </c>
      <c r="K8" s="5">
        <f>IF(SUM(D7:O7)=0,0,K7/SUM(D7:O7)*Assumptions!$E$10)</f>
        <v>0</v>
      </c>
      <c r="L8" s="5">
        <f>IF(SUM(D7:O7)=0,0,L7/SUM(D7:O7)*Assumptions!$E$10)</f>
        <v>1</v>
      </c>
      <c r="M8" s="5">
        <f>IF(SUM(D7:O7)=0,0,M7/SUM(D7:O7)*Assumptions!$E$10)</f>
        <v>1</v>
      </c>
      <c r="N8" s="5">
        <f>IF(SUM(D7:O7)=0,0,N7/SUM(D7:O7)*Assumptions!$E$10)</f>
        <v>0</v>
      </c>
      <c r="O8" s="5">
        <f>IF(SUM(D7:O7)=0,0,O7/SUM(D7:O7)*Assumptions!$E$10)</f>
        <v>0</v>
      </c>
      <c r="P8" s="5">
        <f>IF(SUM(P7:AA7)=0,0,P7/SUM(P7:AA7)*Assumptions!$E$11)</f>
        <v>0</v>
      </c>
      <c r="Q8" s="5">
        <f>IF(SUM(P7:AA7)=0,0,Q7/SUM(P7:AA7)*Assumptions!$E$11)</f>
        <v>0</v>
      </c>
      <c r="R8" s="5">
        <f>IF(SUM(P7:AA7)=0,0,R7/SUM(P7:AA7)*Assumptions!$E$11)</f>
        <v>1</v>
      </c>
      <c r="S8" s="5">
        <f>IF(SUM(P7:AA7)=0,0,S7/SUM(P7:AA7)*Assumptions!$E$11)</f>
        <v>1</v>
      </c>
      <c r="T8" s="5">
        <f>IF(SUM(P7:AA7)=0,0,T7/SUM(P7:AA7)*Assumptions!$E$11)</f>
        <v>1</v>
      </c>
      <c r="U8" s="5">
        <f>IF(SUM(P7:AA7)=0,0,U7/SUM(P7:AA7)*Assumptions!$E$11)</f>
        <v>1</v>
      </c>
      <c r="V8" s="5">
        <f>IF(SUM(P7:AA7)=0,0,V7/SUM(P7:AA7)*Assumptions!$E$11)</f>
        <v>0</v>
      </c>
      <c r="W8" s="5">
        <f>IF(SUM(P7:AA7)=0,0,W7/SUM(P7:AA7)*Assumptions!$E$11)</f>
        <v>0</v>
      </c>
      <c r="X8" s="5">
        <f>IF(SUM(P7:AA7)=0,0,X7/SUM(P7:AA7)*Assumptions!$E$11)</f>
        <v>2</v>
      </c>
      <c r="Y8" s="5">
        <f>IF(SUM(P7:AA7)=0,0,Y7/SUM(P7:AA7)*Assumptions!$E$11)</f>
        <v>2</v>
      </c>
      <c r="Z8" s="5">
        <f>IF(SUM(P7:AA7)=0,0,Z7/SUM(P7:AA7)*Assumptions!$E$11)</f>
        <v>1</v>
      </c>
      <c r="AA8" s="5">
        <f>IF(SUM(P7:AA7)=0,0,AA7/SUM(P7:AA7)*Assumptions!$E$11)</f>
        <v>1</v>
      </c>
      <c r="AB8" s="5">
        <f>IF(SUM(AB7:AM7)=0,0,AB7/SUM(AB7:AM7)*Assumptions!$E$12)</f>
        <v>0</v>
      </c>
      <c r="AC8" s="5">
        <f>IF(SUM(AB7:AM7)=0,0,AC7/SUM(AB7:AM7)*Assumptions!$E$12)</f>
        <v>1</v>
      </c>
      <c r="AD8" s="5">
        <f>IF(SUM(AB7:AM7)=0,0,AD7/SUM(AB7:AM7)*Assumptions!$E$12)</f>
        <v>2</v>
      </c>
      <c r="AE8" s="5">
        <f>IF(SUM(AB7:AM7)=0,0,AE7/SUM(AB7:AM7)*Assumptions!$E$12)</f>
        <v>2</v>
      </c>
      <c r="AF8" s="5">
        <f>IF(SUM(AB7:AM7)=0,0,AF7/SUM(AB7:AM7)*Assumptions!$E$12)</f>
        <v>2</v>
      </c>
      <c r="AG8" s="5">
        <f>IF(SUM(AB7:AM7)=0,0,AG7/SUM(AB7:AM7)*Assumptions!$E$12)</f>
        <v>2</v>
      </c>
      <c r="AH8" s="5">
        <f>IF(SUM(AB7:AM7)=0,0,AH7/SUM(AB7:AM7)*Assumptions!$E$12)</f>
        <v>0</v>
      </c>
      <c r="AI8" s="5">
        <f>IF(SUM(AB7:AM7)=0,0,AI7/SUM(AB7:AM7)*Assumptions!$E$12)</f>
        <v>0</v>
      </c>
      <c r="AJ8" s="5">
        <f>IF(SUM(AB7:AM7)=0,0,AJ7/SUM(AB7:AM7)*Assumptions!$E$12)</f>
        <v>3</v>
      </c>
      <c r="AK8" s="5">
        <f>IF(SUM(AB7:AM7)=0,0,AK7/SUM(AB7:AM7)*Assumptions!$E$12)</f>
        <v>3</v>
      </c>
      <c r="AL8" s="5">
        <f>IF(SUM(AB7:AM7)=0,0,AL7/SUM(AB7:AM7)*Assumptions!$E$12)</f>
        <v>2</v>
      </c>
      <c r="AM8" s="5">
        <f>IF(SUM(AB7:AM7)=0,0,AM7/SUM(AB7:AM7)*Assumptions!$E$12)</f>
        <v>1</v>
      </c>
    </row>
    <row r="9" spans="3:39" ht="23.1" customHeight="1">
      <c r="C9" s="4" t="s">
        <v>10</v>
      </c>
      <c r="D9" s="5">
        <f>D8*Assumptions!$E$13</f>
        <v>0</v>
      </c>
      <c r="E9" s="5">
        <f>E8*Assumptions!$E$13</f>
        <v>0</v>
      </c>
      <c r="F9" s="5">
        <f>F8*Assumptions!$E$13</f>
        <v>0</v>
      </c>
      <c r="G9" s="5">
        <f>G8*Assumptions!$E$13</f>
        <v>18000</v>
      </c>
      <c r="H9" s="5">
        <f>H8*Assumptions!$E$13</f>
        <v>0</v>
      </c>
      <c r="I9" s="5">
        <f>I8*Assumptions!$E$13</f>
        <v>18000</v>
      </c>
      <c r="J9" s="5">
        <f>J8*Assumptions!$E$13</f>
        <v>0</v>
      </c>
      <c r="K9" s="5">
        <f>K8*Assumptions!$E$13</f>
        <v>0</v>
      </c>
      <c r="L9" s="5">
        <f>L8*Assumptions!$E$13</f>
        <v>18000</v>
      </c>
      <c r="M9" s="5">
        <f>M8*Assumptions!$E$13</f>
        <v>18000</v>
      </c>
      <c r="N9" s="5">
        <f>N8*Assumptions!$E$13</f>
        <v>0</v>
      </c>
      <c r="O9" s="5">
        <f>O8*Assumptions!$E$13</f>
        <v>0</v>
      </c>
      <c r="P9" s="5">
        <f>P8*Assumptions!$E$13</f>
        <v>0</v>
      </c>
      <c r="Q9" s="5">
        <f>Q8*Assumptions!$E$13</f>
        <v>0</v>
      </c>
      <c r="R9" s="5">
        <f>R8*Assumptions!$E$13</f>
        <v>18000</v>
      </c>
      <c r="S9" s="5">
        <f>S8*Assumptions!$E$13</f>
        <v>18000</v>
      </c>
      <c r="T9" s="5">
        <f>T8*Assumptions!$E$13</f>
        <v>18000</v>
      </c>
      <c r="U9" s="5">
        <f>U8*Assumptions!$E$13</f>
        <v>18000</v>
      </c>
      <c r="V9" s="5">
        <f>V8*Assumptions!$E$13</f>
        <v>0</v>
      </c>
      <c r="W9" s="5">
        <f>W8*Assumptions!$E$13</f>
        <v>0</v>
      </c>
      <c r="X9" s="5">
        <f>X8*Assumptions!$E$13</f>
        <v>36000</v>
      </c>
      <c r="Y9" s="5">
        <f>Y8*Assumptions!$E$13</f>
        <v>36000</v>
      </c>
      <c r="Z9" s="5">
        <f>Z8*Assumptions!$E$13</f>
        <v>18000</v>
      </c>
      <c r="AA9" s="5">
        <f>AA8*Assumptions!$E$13</f>
        <v>18000</v>
      </c>
      <c r="AB9" s="5">
        <f>AB8*Assumptions!$E$13</f>
        <v>0</v>
      </c>
      <c r="AC9" s="5">
        <f>AC8*Assumptions!$E$13</f>
        <v>18000</v>
      </c>
      <c r="AD9" s="5">
        <f>AD8*Assumptions!$E$13</f>
        <v>36000</v>
      </c>
      <c r="AE9" s="5">
        <f>AE8*Assumptions!$E$13</f>
        <v>36000</v>
      </c>
      <c r="AF9" s="5">
        <f>AF8*Assumptions!$E$13</f>
        <v>36000</v>
      </c>
      <c r="AG9" s="5">
        <f>AG8*Assumptions!$E$13</f>
        <v>36000</v>
      </c>
      <c r="AH9" s="5">
        <f>AH8*Assumptions!$E$13</f>
        <v>0</v>
      </c>
      <c r="AI9" s="5">
        <f>AI8*Assumptions!$E$13</f>
        <v>0</v>
      </c>
      <c r="AJ9" s="5">
        <f>AJ8*Assumptions!$E$13</f>
        <v>54000</v>
      </c>
      <c r="AK9" s="5">
        <f>AK8*Assumptions!$E$13</f>
        <v>54000</v>
      </c>
      <c r="AL9" s="5">
        <f>AL8*Assumptions!$E$13</f>
        <v>36000</v>
      </c>
      <c r="AM9" s="5">
        <f>AM8*Assumptions!$E$13</f>
        <v>18000</v>
      </c>
    </row>
    <row r="10" spans="3:39" ht="23.1" customHeight="1">
      <c r="C10" s="4" t="s">
        <v>118</v>
      </c>
      <c r="D10" s="5">
        <f>D9*Assumptions!$E$28</f>
        <v>0</v>
      </c>
      <c r="E10" s="5">
        <f>E9*Assumptions!$E$28+D11</f>
        <v>0</v>
      </c>
      <c r="F10" s="5">
        <f>F9*Assumptions!$E$28+E11</f>
        <v>0</v>
      </c>
      <c r="G10" s="5">
        <f>G9*Assumptions!$E$28+F11</f>
        <v>9000</v>
      </c>
      <c r="H10" s="5">
        <f>H9*Assumptions!$E$28+G11</f>
        <v>9000</v>
      </c>
      <c r="I10" s="5">
        <f>I9*Assumptions!$E$28+H11</f>
        <v>9000</v>
      </c>
      <c r="J10" s="5">
        <f>J9*Assumptions!$E$28+I11</f>
        <v>9000</v>
      </c>
      <c r="K10" s="5">
        <f>K9*Assumptions!$E$28+J11</f>
        <v>0</v>
      </c>
      <c r="L10" s="5">
        <f>L9*Assumptions!$E$28+K11</f>
        <v>9000</v>
      </c>
      <c r="M10" s="5">
        <f>M9*Assumptions!$E$28+L11</f>
        <v>18000</v>
      </c>
      <c r="N10" s="5">
        <f>N9*Assumptions!$E$28+M11</f>
        <v>9000</v>
      </c>
      <c r="O10" s="5">
        <f>O9*Assumptions!$E$28+N11</f>
        <v>0</v>
      </c>
      <c r="P10" s="5">
        <f>P9*Assumptions!$E$28+O11</f>
        <v>0</v>
      </c>
      <c r="Q10" s="5">
        <f>Q9*Assumptions!$E$28+P11</f>
        <v>0</v>
      </c>
      <c r="R10" s="5">
        <f>R9*Assumptions!$E$28+Q11</f>
        <v>9000</v>
      </c>
      <c r="S10" s="5">
        <f>S9*Assumptions!$E$28+R11</f>
        <v>18000</v>
      </c>
      <c r="T10" s="5">
        <f>T9*Assumptions!$E$28+S11</f>
        <v>18000</v>
      </c>
      <c r="U10" s="5">
        <f>U9*Assumptions!$E$28+T11</f>
        <v>18000</v>
      </c>
      <c r="V10" s="5">
        <f>V9*Assumptions!$E$28+U11</f>
        <v>9000</v>
      </c>
      <c r="W10" s="5">
        <f>W9*Assumptions!$E$28+V11</f>
        <v>0</v>
      </c>
      <c r="X10" s="5">
        <f>X9*Assumptions!$E$28+W11</f>
        <v>18000</v>
      </c>
      <c r="Y10" s="5">
        <f>Y9*Assumptions!$E$28+X11</f>
        <v>36000</v>
      </c>
      <c r="Z10" s="5">
        <f>Z9*Assumptions!$E$28+Y11</f>
        <v>27000</v>
      </c>
      <c r="AA10" s="5">
        <f>AA9*Assumptions!$E$28+Z11</f>
        <v>18000</v>
      </c>
      <c r="AB10" s="5">
        <f>AB9*Assumptions!$E$28+AA11</f>
        <v>9000</v>
      </c>
      <c r="AC10" s="5">
        <f>AC9*Assumptions!$E$28+AB11</f>
        <v>9000</v>
      </c>
      <c r="AD10" s="5">
        <f>AD9*Assumptions!$E$28+AC11</f>
        <v>27000</v>
      </c>
      <c r="AE10" s="5">
        <f>AE9*Assumptions!$E$28+AD11</f>
        <v>36000</v>
      </c>
      <c r="AF10" s="5">
        <f>AF9*Assumptions!$E$28+AE11</f>
        <v>36000</v>
      </c>
      <c r="AG10" s="5">
        <f>AG9*Assumptions!$E$28+AF11</f>
        <v>36000</v>
      </c>
      <c r="AH10" s="5">
        <f>AH9*Assumptions!$E$28+AG11</f>
        <v>18000</v>
      </c>
      <c r="AI10" s="5">
        <f>AI9*Assumptions!$E$28+AH11</f>
        <v>0</v>
      </c>
      <c r="AJ10" s="5">
        <f>AJ9*Assumptions!$E$28+AI11</f>
        <v>27000</v>
      </c>
      <c r="AK10" s="5">
        <f>AK9*Assumptions!$E$28+AJ11</f>
        <v>54000</v>
      </c>
      <c r="AL10" s="5">
        <f>AL9*Assumptions!$E$28+AK11</f>
        <v>45000</v>
      </c>
      <c r="AM10" s="5">
        <f>AM9*Assumptions!$E$28+AL11</f>
        <v>27000</v>
      </c>
    </row>
    <row r="11" spans="3:39" ht="23.1" customHeight="1">
      <c r="C11" s="4" t="s">
        <v>119</v>
      </c>
      <c r="D11" s="5">
        <f>D9*(1-Assumptions!$E$28)</f>
        <v>0</v>
      </c>
      <c r="E11" s="5">
        <f>E9*(1-Assumptions!$E$28)</f>
        <v>0</v>
      </c>
      <c r="F11" s="5">
        <f>F9*(1-Assumptions!$E$28)</f>
        <v>0</v>
      </c>
      <c r="G11" s="5">
        <f>G9*(1-Assumptions!$E$28)</f>
        <v>9000</v>
      </c>
      <c r="H11" s="5">
        <f>H9*(1-Assumptions!$E$28)</f>
        <v>0</v>
      </c>
      <c r="I11" s="5">
        <f>I9*(1-Assumptions!$E$28)</f>
        <v>9000</v>
      </c>
      <c r="J11" s="5">
        <f>J9*(1-Assumptions!$E$28)</f>
        <v>0</v>
      </c>
      <c r="K11" s="5">
        <f>K9*(1-Assumptions!$E$28)</f>
        <v>0</v>
      </c>
      <c r="L11" s="5">
        <f>L9*(1-Assumptions!$E$28)</f>
        <v>9000</v>
      </c>
      <c r="M11" s="5">
        <f>M9*(1-Assumptions!$E$28)</f>
        <v>9000</v>
      </c>
      <c r="N11" s="5">
        <f>N9*(1-Assumptions!$E$28)</f>
        <v>0</v>
      </c>
      <c r="O11" s="5">
        <f>O9*(1-Assumptions!$E$28)</f>
        <v>0</v>
      </c>
      <c r="P11" s="5">
        <f>P9*(1-Assumptions!$E$28)</f>
        <v>0</v>
      </c>
      <c r="Q11" s="5">
        <f>Q9*(1-Assumptions!$E$28)</f>
        <v>0</v>
      </c>
      <c r="R11" s="5">
        <f>R9*(1-Assumptions!$E$28)</f>
        <v>9000</v>
      </c>
      <c r="S11" s="5">
        <f>S9*(1-Assumptions!$E$28)</f>
        <v>9000</v>
      </c>
      <c r="T11" s="5">
        <f>T9*(1-Assumptions!$E$28)</f>
        <v>9000</v>
      </c>
      <c r="U11" s="5">
        <f>U9*(1-Assumptions!$E$28)</f>
        <v>9000</v>
      </c>
      <c r="V11" s="5">
        <f>V9*(1-Assumptions!$E$28)</f>
        <v>0</v>
      </c>
      <c r="W11" s="5">
        <f>W9*(1-Assumptions!$E$28)</f>
        <v>0</v>
      </c>
      <c r="X11" s="5">
        <f>X9*(1-Assumptions!$E$28)</f>
        <v>18000</v>
      </c>
      <c r="Y11" s="5">
        <f>Y9*(1-Assumptions!$E$28)</f>
        <v>18000</v>
      </c>
      <c r="Z11" s="5">
        <f>Z9*(1-Assumptions!$E$28)</f>
        <v>9000</v>
      </c>
      <c r="AA11" s="5">
        <f>AA9*(1-Assumptions!$E$28)</f>
        <v>9000</v>
      </c>
      <c r="AB11" s="5">
        <f>AB9*(1-Assumptions!$E$28)</f>
        <v>0</v>
      </c>
      <c r="AC11" s="5">
        <f>AC9*(1-Assumptions!$E$28)</f>
        <v>9000</v>
      </c>
      <c r="AD11" s="5">
        <f>AD9*(1-Assumptions!$E$28)</f>
        <v>18000</v>
      </c>
      <c r="AE11" s="5">
        <f>AE9*(1-Assumptions!$E$28)</f>
        <v>18000</v>
      </c>
      <c r="AF11" s="5">
        <f>AF9*(1-Assumptions!$E$28)</f>
        <v>18000</v>
      </c>
      <c r="AG11" s="5">
        <f>AG9*(1-Assumptions!$E$28)</f>
        <v>18000</v>
      </c>
      <c r="AH11" s="5">
        <f>AH9*(1-Assumptions!$E$28)</f>
        <v>0</v>
      </c>
      <c r="AI11" s="5">
        <f>AI9*(1-Assumptions!$E$28)</f>
        <v>0</v>
      </c>
      <c r="AJ11" s="5">
        <f>AJ9*(1-Assumptions!$E$28)</f>
        <v>27000</v>
      </c>
      <c r="AK11" s="5">
        <f>AK9*(1-Assumptions!$E$28)</f>
        <v>27000</v>
      </c>
      <c r="AL11" s="5">
        <f>AL9*(1-Assumptions!$E$28)</f>
        <v>18000</v>
      </c>
      <c r="AM11" s="5">
        <f>AM9*(1-Assumptions!$E$28)</f>
        <v>9000</v>
      </c>
    </row>
    <row r="12" spans="3:39" ht="23.1" customHeight="1">
      <c r="C12" s="4" t="s">
        <v>120</v>
      </c>
      <c r="D12" s="5">
        <f>D8*Assumptions!$E$14</f>
        <v>0</v>
      </c>
      <c r="E12" s="5">
        <f>E8*Assumptions!$E$14</f>
        <v>0</v>
      </c>
      <c r="F12" s="5">
        <f>F8*Assumptions!$E$14</f>
        <v>0</v>
      </c>
      <c r="G12" s="5">
        <f>G8*Assumptions!$E$14</f>
        <v>80</v>
      </c>
      <c r="H12" s="5">
        <f>H8*Assumptions!$E$14</f>
        <v>0</v>
      </c>
      <c r="I12" s="5">
        <f>I8*Assumptions!$E$14</f>
        <v>80</v>
      </c>
      <c r="J12" s="5">
        <f>J8*Assumptions!$E$14</f>
        <v>0</v>
      </c>
      <c r="K12" s="5">
        <f>K8*Assumptions!$E$14</f>
        <v>0</v>
      </c>
      <c r="L12" s="5">
        <f>L8*Assumptions!$E$14</f>
        <v>80</v>
      </c>
      <c r="M12" s="5">
        <f>M8*Assumptions!$E$14</f>
        <v>80</v>
      </c>
      <c r="N12" s="5">
        <f>N8*Assumptions!$E$14</f>
        <v>0</v>
      </c>
      <c r="O12" s="5">
        <f>O8*Assumptions!$E$14</f>
        <v>0</v>
      </c>
      <c r="P12" s="5">
        <f>P8*Assumptions!$E$14</f>
        <v>0</v>
      </c>
      <c r="Q12" s="5">
        <f>Q8*Assumptions!$E$14</f>
        <v>0</v>
      </c>
      <c r="R12" s="5">
        <f>R8*Assumptions!$E$14</f>
        <v>80</v>
      </c>
      <c r="S12" s="5">
        <f>S8*Assumptions!$E$14</f>
        <v>80</v>
      </c>
      <c r="T12" s="5">
        <f>T8*Assumptions!$E$14</f>
        <v>80</v>
      </c>
      <c r="U12" s="5">
        <f>U8*Assumptions!$E$14</f>
        <v>80</v>
      </c>
      <c r="V12" s="5">
        <f>V8*Assumptions!$E$14</f>
        <v>0</v>
      </c>
      <c r="W12" s="5">
        <f>W8*Assumptions!$E$14</f>
        <v>0</v>
      </c>
      <c r="X12" s="5">
        <f>X8*Assumptions!$E$14</f>
        <v>160</v>
      </c>
      <c r="Y12" s="5">
        <f>Y8*Assumptions!$E$14</f>
        <v>160</v>
      </c>
      <c r="Z12" s="5">
        <f>Z8*Assumptions!$E$14</f>
        <v>80</v>
      </c>
      <c r="AA12" s="5">
        <f>AA8*Assumptions!$E$14</f>
        <v>80</v>
      </c>
      <c r="AB12" s="5">
        <f>AB8*Assumptions!$E$14</f>
        <v>0</v>
      </c>
      <c r="AC12" s="5">
        <f>AC8*Assumptions!$E$14</f>
        <v>80</v>
      </c>
      <c r="AD12" s="5">
        <f>AD8*Assumptions!$E$14</f>
        <v>160</v>
      </c>
      <c r="AE12" s="5">
        <f>AE8*Assumptions!$E$14</f>
        <v>160</v>
      </c>
      <c r="AF12" s="5">
        <f>AF8*Assumptions!$E$14</f>
        <v>160</v>
      </c>
      <c r="AG12" s="5">
        <f>AG8*Assumptions!$E$14</f>
        <v>160</v>
      </c>
      <c r="AH12" s="5">
        <f>AH8*Assumptions!$E$14</f>
        <v>0</v>
      </c>
      <c r="AI12" s="5">
        <f>AI8*Assumptions!$E$14</f>
        <v>0</v>
      </c>
      <c r="AJ12" s="5">
        <f>AJ8*Assumptions!$E$14</f>
        <v>240</v>
      </c>
      <c r="AK12" s="5">
        <f>AK8*Assumptions!$E$14</f>
        <v>240</v>
      </c>
      <c r="AL12" s="5">
        <f>AL8*Assumptions!$E$14</f>
        <v>160</v>
      </c>
      <c r="AM12" s="5">
        <f>AM8*Assumptions!$E$14</f>
        <v>80</v>
      </c>
    </row>
    <row r="13" spans="3:39" ht="23.1" customHeight="1">
      <c r="C13" s="4" t="s">
        <v>121</v>
      </c>
      <c r="D13" s="5">
        <f>MIN(D12,MAX(0,Assumptions!$E$30-Assumptions!$E$31))</f>
        <v>0</v>
      </c>
      <c r="E13" s="5">
        <f>MIN(E12,MAX(0,Assumptions!$E$30-Assumptions!$E$31))</f>
        <v>0</v>
      </c>
      <c r="F13" s="5">
        <f>MIN(F12,MAX(0,Assumptions!$E$30-Assumptions!$E$31))</f>
        <v>0</v>
      </c>
      <c r="G13" s="5">
        <f>MIN(G12,MAX(0,Assumptions!$E$30-Assumptions!$E$31))</f>
        <v>80</v>
      </c>
      <c r="H13" s="5">
        <f>MIN(H12,MAX(0,Assumptions!$E$30-Assumptions!$E$31))</f>
        <v>0</v>
      </c>
      <c r="I13" s="5">
        <f>MIN(I12,MAX(0,Assumptions!$E$30-Assumptions!$E$31))</f>
        <v>80</v>
      </c>
      <c r="J13" s="5">
        <f>MIN(J12,MAX(0,Assumptions!$E$30-Assumptions!$E$31))</f>
        <v>0</v>
      </c>
      <c r="K13" s="5">
        <f>MIN(K12,MAX(0,Assumptions!$E$30-Assumptions!$E$31))</f>
        <v>0</v>
      </c>
      <c r="L13" s="5">
        <f>MIN(L12,MAX(0,Assumptions!$E$30-Assumptions!$E$31))</f>
        <v>80</v>
      </c>
      <c r="M13" s="5">
        <f>MIN(M12,MAX(0,Assumptions!$E$30-Assumptions!$E$31))</f>
        <v>80</v>
      </c>
      <c r="N13" s="5">
        <f>MIN(N12,MAX(0,Assumptions!$E$30-Assumptions!$E$31))</f>
        <v>0</v>
      </c>
      <c r="O13" s="5">
        <f>MIN(O12,MAX(0,Assumptions!$E$30-Assumptions!$E$31))</f>
        <v>0</v>
      </c>
      <c r="P13" s="5">
        <f>MIN(P12,MAX(0,Assumptions!$E$30-Assumptions!$E$31))</f>
        <v>0</v>
      </c>
      <c r="Q13" s="5">
        <f>MIN(Q12,MAX(0,Assumptions!$E$30-Assumptions!$E$31))</f>
        <v>0</v>
      </c>
      <c r="R13" s="5">
        <f>MIN(R12,MAX(0,Assumptions!$E$30-Assumptions!$E$31))</f>
        <v>80</v>
      </c>
      <c r="S13" s="5">
        <f>MIN(S12,MAX(0,Assumptions!$E$30-Assumptions!$E$31))</f>
        <v>80</v>
      </c>
      <c r="T13" s="5">
        <f>MIN(T12,MAX(0,Assumptions!$E$30-Assumptions!$E$31))</f>
        <v>80</v>
      </c>
      <c r="U13" s="5">
        <f>MIN(U12,MAX(0,Assumptions!$E$30-Assumptions!$E$31))</f>
        <v>80</v>
      </c>
      <c r="V13" s="5">
        <f>MIN(V12,MAX(0,Assumptions!$E$30-Assumptions!$E$31))</f>
        <v>0</v>
      </c>
      <c r="W13" s="5">
        <f>MIN(W12,MAX(0,Assumptions!$E$30-Assumptions!$E$31))</f>
        <v>0</v>
      </c>
      <c r="X13" s="5">
        <f>MIN(X12,MAX(0,Assumptions!$E$30-Assumptions!$E$31))</f>
        <v>80</v>
      </c>
      <c r="Y13" s="5">
        <f>MIN(Y12,MAX(0,Assumptions!$E$30-Assumptions!$E$31))</f>
        <v>80</v>
      </c>
      <c r="Z13" s="5">
        <f>MIN(Z12,MAX(0,Assumptions!$E$30-Assumptions!$E$31))</f>
        <v>80</v>
      </c>
      <c r="AA13" s="5">
        <f>MIN(AA12,MAX(0,Assumptions!$E$30-Assumptions!$E$31))</f>
        <v>80</v>
      </c>
      <c r="AB13" s="5">
        <f>MIN(AB12,MAX(0,Assumptions!$E$30-Assumptions!$E$31))</f>
        <v>0</v>
      </c>
      <c r="AC13" s="5">
        <f>MIN(AC12,MAX(0,Assumptions!$E$30-Assumptions!$E$31))</f>
        <v>80</v>
      </c>
      <c r="AD13" s="5">
        <f>MIN(AD12,MAX(0,Assumptions!$E$30-Assumptions!$E$31))</f>
        <v>80</v>
      </c>
      <c r="AE13" s="5">
        <f>MIN(AE12,MAX(0,Assumptions!$E$30-Assumptions!$E$31))</f>
        <v>80</v>
      </c>
      <c r="AF13" s="5">
        <f>MIN(AF12,MAX(0,Assumptions!$E$30-Assumptions!$E$31))</f>
        <v>80</v>
      </c>
      <c r="AG13" s="5">
        <f>MIN(AG12,MAX(0,Assumptions!$E$30-Assumptions!$E$31))</f>
        <v>80</v>
      </c>
      <c r="AH13" s="5">
        <f>MIN(AH12,MAX(0,Assumptions!$E$30-Assumptions!$E$31))</f>
        <v>0</v>
      </c>
      <c r="AI13" s="5">
        <f>MIN(AI12,MAX(0,Assumptions!$E$30-Assumptions!$E$31))</f>
        <v>0</v>
      </c>
      <c r="AJ13" s="5">
        <f>MIN(AJ12,MAX(0,Assumptions!$E$30-Assumptions!$E$31))</f>
        <v>80</v>
      </c>
      <c r="AK13" s="5">
        <f>MIN(AK12,MAX(0,Assumptions!$E$30-Assumptions!$E$31))</f>
        <v>80</v>
      </c>
      <c r="AL13" s="5">
        <f>MIN(AL12,MAX(0,Assumptions!$E$30-Assumptions!$E$31))</f>
        <v>80</v>
      </c>
      <c r="AM13" s="5">
        <f>MIN(AM12,MAX(0,Assumptions!$E$30-Assumptions!$E$31))</f>
        <v>80</v>
      </c>
    </row>
    <row r="14" spans="3:39" ht="23.1" customHeight="1">
      <c r="C14" s="4" t="s">
        <v>17</v>
      </c>
      <c r="D14" s="11">
        <f t="shared" ref="D14:AM14" si="0">MAX(0,D12-D13)</f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1">
        <f t="shared" si="0"/>
        <v>0</v>
      </c>
      <c r="J14" s="11">
        <f t="shared" si="0"/>
        <v>0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1">
        <f t="shared" si="0"/>
        <v>0</v>
      </c>
      <c r="O14" s="11">
        <f t="shared" si="0"/>
        <v>0</v>
      </c>
      <c r="P14" s="11">
        <f t="shared" si="0"/>
        <v>0</v>
      </c>
      <c r="Q14" s="11">
        <f t="shared" si="0"/>
        <v>0</v>
      </c>
      <c r="R14" s="11">
        <f t="shared" si="0"/>
        <v>0</v>
      </c>
      <c r="S14" s="11">
        <f t="shared" si="0"/>
        <v>0</v>
      </c>
      <c r="T14" s="11">
        <f t="shared" si="0"/>
        <v>0</v>
      </c>
      <c r="U14" s="11">
        <f t="shared" si="0"/>
        <v>0</v>
      </c>
      <c r="V14" s="11">
        <f t="shared" si="0"/>
        <v>0</v>
      </c>
      <c r="W14" s="11">
        <f t="shared" si="0"/>
        <v>0</v>
      </c>
      <c r="X14" s="11">
        <f t="shared" si="0"/>
        <v>80</v>
      </c>
      <c r="Y14" s="11">
        <f t="shared" si="0"/>
        <v>80</v>
      </c>
      <c r="Z14" s="11">
        <f t="shared" si="0"/>
        <v>0</v>
      </c>
      <c r="AA14" s="11">
        <f t="shared" si="0"/>
        <v>0</v>
      </c>
      <c r="AB14" s="11">
        <f t="shared" si="0"/>
        <v>0</v>
      </c>
      <c r="AC14" s="11">
        <f t="shared" si="0"/>
        <v>0</v>
      </c>
      <c r="AD14" s="11">
        <f t="shared" si="0"/>
        <v>80</v>
      </c>
      <c r="AE14" s="11">
        <f t="shared" si="0"/>
        <v>80</v>
      </c>
      <c r="AF14" s="11">
        <f t="shared" si="0"/>
        <v>80</v>
      </c>
      <c r="AG14" s="11">
        <f t="shared" si="0"/>
        <v>80</v>
      </c>
      <c r="AH14" s="11">
        <f t="shared" si="0"/>
        <v>0</v>
      </c>
      <c r="AI14" s="11">
        <f t="shared" si="0"/>
        <v>0</v>
      </c>
      <c r="AJ14" s="11">
        <f t="shared" si="0"/>
        <v>160</v>
      </c>
      <c r="AK14" s="11">
        <f t="shared" si="0"/>
        <v>160</v>
      </c>
      <c r="AL14" s="11">
        <f t="shared" si="0"/>
        <v>80</v>
      </c>
      <c r="AM14" s="11">
        <f t="shared" si="0"/>
        <v>0</v>
      </c>
    </row>
    <row r="15" spans="3:39" ht="23.1" customHeight="1">
      <c r="C15" s="4" t="s">
        <v>122</v>
      </c>
      <c r="D15" s="5">
        <f>MAX(0,Assumptions!$E$30-Assumptions!$E$31)+Assumptions!$E$32-D12</f>
        <v>240</v>
      </c>
      <c r="E15" s="5">
        <f>MAX(0,Assumptions!$E$30-Assumptions!$E$31)+Assumptions!$E$32-E12</f>
        <v>240</v>
      </c>
      <c r="F15" s="5">
        <f>MAX(0,Assumptions!$E$30-Assumptions!$E$31)+Assumptions!$E$32-F12</f>
        <v>240</v>
      </c>
      <c r="G15" s="5">
        <f>MAX(0,Assumptions!$E$30-Assumptions!$E$31)+Assumptions!$E$32-G12</f>
        <v>160</v>
      </c>
      <c r="H15" s="5">
        <f>MAX(0,Assumptions!$E$30-Assumptions!$E$31)+Assumptions!$E$32-H12</f>
        <v>240</v>
      </c>
      <c r="I15" s="5">
        <f>MAX(0,Assumptions!$E$30-Assumptions!$E$31)+Assumptions!$E$32-I12</f>
        <v>160</v>
      </c>
      <c r="J15" s="5">
        <f>MAX(0,Assumptions!$E$30-Assumptions!$E$31)+Assumptions!$E$32-J12</f>
        <v>240</v>
      </c>
      <c r="K15" s="5">
        <f>MAX(0,Assumptions!$E$30-Assumptions!$E$31)+Assumptions!$E$32-K12</f>
        <v>240</v>
      </c>
      <c r="L15" s="5">
        <f>MAX(0,Assumptions!$E$30-Assumptions!$E$31)+Assumptions!$E$32-L12</f>
        <v>160</v>
      </c>
      <c r="M15" s="5">
        <f>MAX(0,Assumptions!$E$30-Assumptions!$E$31)+Assumptions!$E$32-M12</f>
        <v>160</v>
      </c>
      <c r="N15" s="5">
        <f>MAX(0,Assumptions!$E$30-Assumptions!$E$31)+Assumptions!$E$32-N12</f>
        <v>240</v>
      </c>
      <c r="O15" s="5">
        <f>MAX(0,Assumptions!$E$30-Assumptions!$E$31)+Assumptions!$E$32-O12</f>
        <v>240</v>
      </c>
      <c r="P15" s="5">
        <f>MAX(0,Assumptions!$E$30-Assumptions!$E$31)+Assumptions!$E$32-P12</f>
        <v>240</v>
      </c>
      <c r="Q15" s="5">
        <f>MAX(0,Assumptions!$E$30-Assumptions!$E$31)+Assumptions!$E$32-Q12</f>
        <v>240</v>
      </c>
      <c r="R15" s="5">
        <f>MAX(0,Assumptions!$E$30-Assumptions!$E$31)+Assumptions!$E$32-R12</f>
        <v>160</v>
      </c>
      <c r="S15" s="5">
        <f>MAX(0,Assumptions!$E$30-Assumptions!$E$31)+Assumptions!$E$32-S12</f>
        <v>160</v>
      </c>
      <c r="T15" s="5">
        <f>MAX(0,Assumptions!$E$30-Assumptions!$E$31)+Assumptions!$E$32-T12</f>
        <v>160</v>
      </c>
      <c r="U15" s="5">
        <f>MAX(0,Assumptions!$E$30-Assumptions!$E$31)+Assumptions!$E$32-U12</f>
        <v>160</v>
      </c>
      <c r="V15" s="5">
        <f>MAX(0,Assumptions!$E$30-Assumptions!$E$31)+Assumptions!$E$32-V12</f>
        <v>240</v>
      </c>
      <c r="W15" s="5">
        <f>MAX(0,Assumptions!$E$30-Assumptions!$E$31)+Assumptions!$E$32-W12</f>
        <v>240</v>
      </c>
      <c r="X15" s="5">
        <f>MAX(0,Assumptions!$E$30-Assumptions!$E$31)+Assumptions!$E$32-X12</f>
        <v>80</v>
      </c>
      <c r="Y15" s="5">
        <f>MAX(0,Assumptions!$E$30-Assumptions!$E$31)+Assumptions!$E$32-Y12</f>
        <v>80</v>
      </c>
      <c r="Z15" s="5">
        <f>MAX(0,Assumptions!$E$30-Assumptions!$E$31)+Assumptions!$E$32-Z12</f>
        <v>160</v>
      </c>
      <c r="AA15" s="5">
        <f>MAX(0,Assumptions!$E$30-Assumptions!$E$31)+Assumptions!$E$32-AA12</f>
        <v>160</v>
      </c>
      <c r="AB15" s="5">
        <f>MAX(0,Assumptions!$E$30-Assumptions!$E$31)+Assumptions!$E$32-AB12</f>
        <v>240</v>
      </c>
      <c r="AC15" s="5">
        <f>MAX(0,Assumptions!$E$30-Assumptions!$E$31)+Assumptions!$E$32-AC12</f>
        <v>160</v>
      </c>
      <c r="AD15" s="5">
        <f>MAX(0,Assumptions!$E$30-Assumptions!$E$31)+Assumptions!$E$32-AD12</f>
        <v>80</v>
      </c>
      <c r="AE15" s="5">
        <f>MAX(0,Assumptions!$E$30-Assumptions!$E$31)+Assumptions!$E$32-AE12</f>
        <v>80</v>
      </c>
      <c r="AF15" s="5">
        <f>MAX(0,Assumptions!$E$30-Assumptions!$E$31)+Assumptions!$E$32-AF12</f>
        <v>80</v>
      </c>
      <c r="AG15" s="5">
        <f>MAX(0,Assumptions!$E$30-Assumptions!$E$31)+Assumptions!$E$32-AG12</f>
        <v>80</v>
      </c>
      <c r="AH15" s="5">
        <f>MAX(0,Assumptions!$E$30-Assumptions!$E$31)+Assumptions!$E$32-AH12</f>
        <v>240</v>
      </c>
      <c r="AI15" s="5">
        <f>MAX(0,Assumptions!$E$30-Assumptions!$E$31)+Assumptions!$E$32-AI12</f>
        <v>240</v>
      </c>
      <c r="AJ15" s="5">
        <f>MAX(0,Assumptions!$E$30-Assumptions!$E$31)+Assumptions!$E$32-AJ12</f>
        <v>0</v>
      </c>
      <c r="AK15" s="5">
        <f>MAX(0,Assumptions!$E$30-Assumptions!$E$31)+Assumptions!$E$32-AK12</f>
        <v>0</v>
      </c>
      <c r="AL15" s="5">
        <f>MAX(0,Assumptions!$E$30-Assumptions!$E$31)+Assumptions!$E$32-AL12</f>
        <v>80</v>
      </c>
      <c r="AM15" s="5">
        <f>MAX(0,Assumptions!$E$30-Assumptions!$E$31)+Assumptions!$E$32-AM12</f>
        <v>160</v>
      </c>
    </row>
    <row r="16" spans="3:39" ht="23.1" customHeight="1">
      <c r="C16" t="s">
        <v>123</v>
      </c>
      <c r="D16">
        <f t="shared" ref="D16:AM16" si="1">ABS(D8-ROUND(D8,0))</f>
        <v>0</v>
      </c>
      <c r="E16">
        <f t="shared" si="1"/>
        <v>0</v>
      </c>
      <c r="F16">
        <f t="shared" si="1"/>
        <v>0</v>
      </c>
      <c r="G16">
        <f t="shared" si="1"/>
        <v>0</v>
      </c>
      <c r="H16">
        <f t="shared" si="1"/>
        <v>0</v>
      </c>
      <c r="I16">
        <f t="shared" si="1"/>
        <v>0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0</v>
      </c>
      <c r="N16">
        <f t="shared" si="1"/>
        <v>0</v>
      </c>
      <c r="O16">
        <f t="shared" si="1"/>
        <v>0</v>
      </c>
      <c r="P16">
        <f t="shared" si="1"/>
        <v>0</v>
      </c>
      <c r="Q16">
        <f t="shared" si="1"/>
        <v>0</v>
      </c>
      <c r="R16">
        <f t="shared" si="1"/>
        <v>0</v>
      </c>
      <c r="S16">
        <f t="shared" si="1"/>
        <v>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0</v>
      </c>
      <c r="X16">
        <f t="shared" si="1"/>
        <v>0</v>
      </c>
      <c r="Y16">
        <f t="shared" si="1"/>
        <v>0</v>
      </c>
      <c r="Z16">
        <f t="shared" si="1"/>
        <v>0</v>
      </c>
      <c r="AA16">
        <f t="shared" si="1"/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  <c r="AF16">
        <f t="shared" si="1"/>
        <v>0</v>
      </c>
      <c r="AG16">
        <f t="shared" si="1"/>
        <v>0</v>
      </c>
      <c r="AH16">
        <f t="shared" si="1"/>
        <v>0</v>
      </c>
      <c r="AI16">
        <f t="shared" si="1"/>
        <v>0</v>
      </c>
      <c r="AJ16">
        <f t="shared" si="1"/>
        <v>0</v>
      </c>
      <c r="AK16">
        <f t="shared" si="1"/>
        <v>0</v>
      </c>
      <c r="AL16">
        <f t="shared" si="1"/>
        <v>0</v>
      </c>
      <c r="AM16">
        <f t="shared" si="1"/>
        <v>0</v>
      </c>
    </row>
    <row r="17" spans="3:39" ht="23.1" customHeight="1"/>
    <row r="18" spans="3:39" ht="23.1" customHeight="1"/>
    <row r="19" spans="3:39" ht="23.1" customHeight="1"/>
    <row r="20" spans="3:39" ht="23.1" customHeight="1"/>
    <row r="21" spans="3:39" ht="23.1" customHeight="1"/>
    <row r="22" spans="3:39" ht="23.1" customHeight="1"/>
    <row r="23" spans="3:39" ht="23.1" customHeight="1"/>
    <row r="24" spans="3:39" ht="30" customHeight="1">
      <c r="C24" s="3" t="s">
        <v>28</v>
      </c>
      <c r="D24" s="10">
        <v>46388</v>
      </c>
      <c r="E24" s="10">
        <v>46419</v>
      </c>
      <c r="F24" s="10">
        <v>46447</v>
      </c>
      <c r="G24" s="10">
        <v>46478</v>
      </c>
      <c r="H24" s="10">
        <v>46508</v>
      </c>
      <c r="I24" s="10">
        <v>46539</v>
      </c>
      <c r="J24" s="10">
        <v>46569</v>
      </c>
      <c r="K24" s="10">
        <v>46600</v>
      </c>
      <c r="L24" s="10">
        <v>46631</v>
      </c>
      <c r="M24" s="10">
        <v>46661</v>
      </c>
      <c r="N24" s="10">
        <v>46692</v>
      </c>
      <c r="O24" s="10">
        <v>46722</v>
      </c>
      <c r="P24" s="10">
        <v>46753</v>
      </c>
      <c r="Q24" s="10">
        <v>46784</v>
      </c>
      <c r="R24" s="10">
        <v>46813</v>
      </c>
      <c r="S24" s="10">
        <v>46844</v>
      </c>
      <c r="T24" s="10">
        <v>46874</v>
      </c>
      <c r="U24" s="10">
        <v>46905</v>
      </c>
      <c r="V24" s="10">
        <v>46935</v>
      </c>
      <c r="W24" s="10">
        <v>46966</v>
      </c>
      <c r="X24" s="10">
        <v>46997</v>
      </c>
      <c r="Y24" s="10">
        <v>47027</v>
      </c>
      <c r="Z24" s="10">
        <v>47058</v>
      </c>
      <c r="AA24" s="10">
        <v>47088</v>
      </c>
      <c r="AB24" s="10">
        <v>47119</v>
      </c>
      <c r="AC24" s="10">
        <v>47150</v>
      </c>
      <c r="AD24" s="10">
        <v>47178</v>
      </c>
      <c r="AE24" s="10">
        <v>47209</v>
      </c>
      <c r="AF24" s="10">
        <v>47239</v>
      </c>
      <c r="AG24" s="10">
        <v>47270</v>
      </c>
      <c r="AH24" s="10">
        <v>47300</v>
      </c>
      <c r="AI24" s="10">
        <v>47331</v>
      </c>
      <c r="AJ24" s="10">
        <v>47362</v>
      </c>
      <c r="AK24" s="10">
        <v>47392</v>
      </c>
      <c r="AL24" s="10">
        <v>47423</v>
      </c>
      <c r="AM24" s="10">
        <v>47453</v>
      </c>
    </row>
    <row r="25" spans="3:39" ht="23.1" customHeight="1">
      <c r="C25" s="4" t="s">
        <v>116</v>
      </c>
      <c r="D25" s="7">
        <v>0</v>
      </c>
      <c r="E25" s="7">
        <v>0</v>
      </c>
      <c r="F25" s="7">
        <v>0</v>
      </c>
      <c r="G25" s="7">
        <v>0</v>
      </c>
      <c r="H25" s="7">
        <v>1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1</v>
      </c>
      <c r="T25" s="7">
        <v>0</v>
      </c>
      <c r="U25" s="7">
        <v>1</v>
      </c>
      <c r="V25" s="7">
        <v>0</v>
      </c>
      <c r="W25" s="7">
        <v>0</v>
      </c>
      <c r="X25" s="7">
        <v>1</v>
      </c>
      <c r="Y25" s="7">
        <v>1</v>
      </c>
      <c r="Z25" s="7">
        <v>0</v>
      </c>
      <c r="AA25" s="7">
        <v>0</v>
      </c>
      <c r="AB25" s="7">
        <v>0</v>
      </c>
      <c r="AC25" s="7">
        <v>0</v>
      </c>
      <c r="AD25" s="7">
        <v>1</v>
      </c>
      <c r="AE25" s="7">
        <v>0</v>
      </c>
      <c r="AF25" s="7">
        <v>1</v>
      </c>
      <c r="AG25" s="7">
        <v>1</v>
      </c>
      <c r="AH25" s="7">
        <v>0</v>
      </c>
      <c r="AI25" s="7">
        <v>0</v>
      </c>
      <c r="AJ25" s="7">
        <v>1</v>
      </c>
      <c r="AK25" s="7">
        <v>1</v>
      </c>
      <c r="AL25" s="7">
        <v>1</v>
      </c>
      <c r="AM25" s="7">
        <v>0</v>
      </c>
    </row>
    <row r="26" spans="3:39" ht="23.1" customHeight="1">
      <c r="C26" s="4" t="s">
        <v>117</v>
      </c>
      <c r="D26" s="5">
        <f>IF(SUM(D25:O25)=0,0,D25/SUM(D25:O25)*Assumptions!$F$10)</f>
        <v>0</v>
      </c>
      <c r="E26" s="5">
        <f>IF(SUM(D25:O25)=0,0,E25/SUM(D25:O25)*Assumptions!$F$10)</f>
        <v>0</v>
      </c>
      <c r="F26" s="5">
        <f>IF(SUM(D25:O25)=0,0,F25/SUM(D25:O25)*Assumptions!$F$10)</f>
        <v>0</v>
      </c>
      <c r="G26" s="5">
        <f>IF(SUM(D25:O25)=0,0,G25/SUM(D25:O25)*Assumptions!$F$10)</f>
        <v>0</v>
      </c>
      <c r="H26" s="5">
        <f>IF(SUM(D25:O25)=0,0,H25/SUM(D25:O25)*Assumptions!$F$10)</f>
        <v>1</v>
      </c>
      <c r="I26" s="5">
        <f>IF(SUM(D25:O25)=0,0,I25/SUM(D25:O25)*Assumptions!$F$10)</f>
        <v>0</v>
      </c>
      <c r="J26" s="5">
        <f>IF(SUM(D25:O25)=0,0,J25/SUM(D25:O25)*Assumptions!$F$10)</f>
        <v>0</v>
      </c>
      <c r="K26" s="5">
        <f>IF(SUM(D25:O25)=0,0,K25/SUM(D25:O25)*Assumptions!$F$10)</f>
        <v>0</v>
      </c>
      <c r="L26" s="5">
        <f>IF(SUM(D25:O25)=0,0,L25/SUM(D25:O25)*Assumptions!$F$10)</f>
        <v>0</v>
      </c>
      <c r="M26" s="5">
        <f>IF(SUM(D25:O25)=0,0,M25/SUM(D25:O25)*Assumptions!$F$10)</f>
        <v>1</v>
      </c>
      <c r="N26" s="5">
        <f>IF(SUM(D25:O25)=0,0,N25/SUM(D25:O25)*Assumptions!$F$10)</f>
        <v>0</v>
      </c>
      <c r="O26" s="5">
        <f>IF(SUM(D25:O25)=0,0,O25/SUM(D25:O25)*Assumptions!$F$10)</f>
        <v>0</v>
      </c>
      <c r="P26" s="5">
        <f>IF(SUM(P25:AA25)=0,0,P25/SUM(P25:AA25)*Assumptions!$F$11)</f>
        <v>0</v>
      </c>
      <c r="Q26" s="5">
        <f>IF(SUM(P25:AA25)=0,0,Q25/SUM(P25:AA25)*Assumptions!$F$11)</f>
        <v>0</v>
      </c>
      <c r="R26" s="5">
        <f>IF(SUM(P25:AA25)=0,0,R25/SUM(P25:AA25)*Assumptions!$F$11)</f>
        <v>0</v>
      </c>
      <c r="S26" s="5">
        <f>IF(SUM(P25:AA25)=0,0,S25/SUM(P25:AA25)*Assumptions!$F$11)</f>
        <v>1</v>
      </c>
      <c r="T26" s="5">
        <f>IF(SUM(P25:AA25)=0,0,T25/SUM(P25:AA25)*Assumptions!$F$11)</f>
        <v>0</v>
      </c>
      <c r="U26" s="5">
        <f>IF(SUM(P25:AA25)=0,0,U25/SUM(P25:AA25)*Assumptions!$F$11)</f>
        <v>1</v>
      </c>
      <c r="V26" s="5">
        <f>IF(SUM(P25:AA25)=0,0,V25/SUM(P25:AA25)*Assumptions!$F$11)</f>
        <v>0</v>
      </c>
      <c r="W26" s="5">
        <f>IF(SUM(P25:AA25)=0,0,W25/SUM(P25:AA25)*Assumptions!$F$11)</f>
        <v>0</v>
      </c>
      <c r="X26" s="5">
        <f>IF(SUM(P25:AA25)=0,0,X25/SUM(P25:AA25)*Assumptions!$F$11)</f>
        <v>1</v>
      </c>
      <c r="Y26" s="5">
        <f>IF(SUM(P25:AA25)=0,0,Y25/SUM(P25:AA25)*Assumptions!$F$11)</f>
        <v>1</v>
      </c>
      <c r="Z26" s="5">
        <f>IF(SUM(P25:AA25)=0,0,Z25/SUM(P25:AA25)*Assumptions!$F$11)</f>
        <v>0</v>
      </c>
      <c r="AA26" s="5">
        <f>IF(SUM(P25:AA25)=0,0,AA25/SUM(P25:AA25)*Assumptions!$F$11)</f>
        <v>0</v>
      </c>
      <c r="AB26" s="5">
        <f>IF(SUM(AB25:AM25)=0,0,AB25/SUM(AB25:AM25)*Assumptions!$F$12)</f>
        <v>0</v>
      </c>
      <c r="AC26" s="5">
        <f>IF(SUM(AB25:AM25)=0,0,AC25/SUM(AB25:AM25)*Assumptions!$F$12)</f>
        <v>0</v>
      </c>
      <c r="AD26" s="5">
        <f>IF(SUM(AB25:AM25)=0,0,AD25/SUM(AB25:AM25)*Assumptions!$F$12)</f>
        <v>1</v>
      </c>
      <c r="AE26" s="5">
        <f>IF(SUM(AB25:AM25)=0,0,AE25/SUM(AB25:AM25)*Assumptions!$F$12)</f>
        <v>0</v>
      </c>
      <c r="AF26" s="5">
        <f>IF(SUM(AB25:AM25)=0,0,AF25/SUM(AB25:AM25)*Assumptions!$F$12)</f>
        <v>1</v>
      </c>
      <c r="AG26" s="5">
        <f>IF(SUM(AB25:AM25)=0,0,AG25/SUM(AB25:AM25)*Assumptions!$F$12)</f>
        <v>1</v>
      </c>
      <c r="AH26" s="5">
        <f>IF(SUM(AB25:AM25)=0,0,AH25/SUM(AB25:AM25)*Assumptions!$F$12)</f>
        <v>0</v>
      </c>
      <c r="AI26" s="5">
        <f>IF(SUM(AB25:AM25)=0,0,AI25/SUM(AB25:AM25)*Assumptions!$F$12)</f>
        <v>0</v>
      </c>
      <c r="AJ26" s="5">
        <f>IF(SUM(AB25:AM25)=0,0,AJ25/SUM(AB25:AM25)*Assumptions!$F$12)</f>
        <v>1</v>
      </c>
      <c r="AK26" s="5">
        <f>IF(SUM(AB25:AM25)=0,0,AK25/SUM(AB25:AM25)*Assumptions!$F$12)</f>
        <v>1</v>
      </c>
      <c r="AL26" s="5">
        <f>IF(SUM(AB25:AM25)=0,0,AL25/SUM(AB25:AM25)*Assumptions!$F$12)</f>
        <v>1</v>
      </c>
      <c r="AM26" s="5">
        <f>IF(SUM(AB25:AM25)=0,0,AM25/SUM(AB25:AM25)*Assumptions!$F$12)</f>
        <v>0</v>
      </c>
    </row>
    <row r="27" spans="3:39" ht="23.1" customHeight="1">
      <c r="C27" s="4" t="s">
        <v>10</v>
      </c>
      <c r="D27" s="5">
        <f>D26*Assumptions!$F$13</f>
        <v>0</v>
      </c>
      <c r="E27" s="5">
        <f>E26*Assumptions!$F$13</f>
        <v>0</v>
      </c>
      <c r="F27" s="5">
        <f>F26*Assumptions!$F$13</f>
        <v>0</v>
      </c>
      <c r="G27" s="5">
        <f>G26*Assumptions!$F$13</f>
        <v>0</v>
      </c>
      <c r="H27" s="5">
        <f>H26*Assumptions!$F$13</f>
        <v>15000</v>
      </c>
      <c r="I27" s="5">
        <f>I26*Assumptions!$F$13</f>
        <v>0</v>
      </c>
      <c r="J27" s="5">
        <f>J26*Assumptions!$F$13</f>
        <v>0</v>
      </c>
      <c r="K27" s="5">
        <f>K26*Assumptions!$F$13</f>
        <v>0</v>
      </c>
      <c r="L27" s="5">
        <f>L26*Assumptions!$F$13</f>
        <v>0</v>
      </c>
      <c r="M27" s="5">
        <f>M26*Assumptions!$F$13</f>
        <v>15000</v>
      </c>
      <c r="N27" s="5">
        <f>N26*Assumptions!$F$13</f>
        <v>0</v>
      </c>
      <c r="O27" s="5">
        <f>O26*Assumptions!$F$13</f>
        <v>0</v>
      </c>
      <c r="P27" s="5">
        <f>P26*Assumptions!$F$13</f>
        <v>0</v>
      </c>
      <c r="Q27" s="5">
        <f>Q26*Assumptions!$F$13</f>
        <v>0</v>
      </c>
      <c r="R27" s="5">
        <f>R26*Assumptions!$F$13</f>
        <v>0</v>
      </c>
      <c r="S27" s="5">
        <f>S26*Assumptions!$F$13</f>
        <v>15000</v>
      </c>
      <c r="T27" s="5">
        <f>T26*Assumptions!$F$13</f>
        <v>0</v>
      </c>
      <c r="U27" s="5">
        <f>U26*Assumptions!$F$13</f>
        <v>15000</v>
      </c>
      <c r="V27" s="5">
        <f>V26*Assumptions!$F$13</f>
        <v>0</v>
      </c>
      <c r="W27" s="5">
        <f>W26*Assumptions!$F$13</f>
        <v>0</v>
      </c>
      <c r="X27" s="5">
        <f>X26*Assumptions!$F$13</f>
        <v>15000</v>
      </c>
      <c r="Y27" s="5">
        <f>Y26*Assumptions!$F$13</f>
        <v>15000</v>
      </c>
      <c r="Z27" s="5">
        <f>Z26*Assumptions!$F$13</f>
        <v>0</v>
      </c>
      <c r="AA27" s="5">
        <f>AA26*Assumptions!$F$13</f>
        <v>0</v>
      </c>
      <c r="AB27" s="5">
        <f>AB26*Assumptions!$F$13</f>
        <v>0</v>
      </c>
      <c r="AC27" s="5">
        <f>AC26*Assumptions!$F$13</f>
        <v>0</v>
      </c>
      <c r="AD27" s="5">
        <f>AD26*Assumptions!$F$13</f>
        <v>15000</v>
      </c>
      <c r="AE27" s="5">
        <f>AE26*Assumptions!$F$13</f>
        <v>0</v>
      </c>
      <c r="AF27" s="5">
        <f>AF26*Assumptions!$F$13</f>
        <v>15000</v>
      </c>
      <c r="AG27" s="5">
        <f>AG26*Assumptions!$F$13</f>
        <v>15000</v>
      </c>
      <c r="AH27" s="5">
        <f>AH26*Assumptions!$F$13</f>
        <v>0</v>
      </c>
      <c r="AI27" s="5">
        <f>AI26*Assumptions!$F$13</f>
        <v>0</v>
      </c>
      <c r="AJ27" s="5">
        <f>AJ26*Assumptions!$F$13</f>
        <v>15000</v>
      </c>
      <c r="AK27" s="5">
        <f>AK26*Assumptions!$F$13</f>
        <v>15000</v>
      </c>
      <c r="AL27" s="5">
        <f>AL26*Assumptions!$F$13</f>
        <v>15000</v>
      </c>
      <c r="AM27" s="5">
        <f>AM26*Assumptions!$F$13</f>
        <v>0</v>
      </c>
    </row>
    <row r="28" spans="3:39" ht="23.1" customHeight="1">
      <c r="C28" s="4" t="s">
        <v>118</v>
      </c>
      <c r="D28" s="5">
        <f>D27*Assumptions!$F$28</f>
        <v>0</v>
      </c>
      <c r="E28" s="5">
        <f>E27*Assumptions!$F$28+D29</f>
        <v>0</v>
      </c>
      <c r="F28" s="5">
        <f>F27*Assumptions!$F$28+E29</f>
        <v>0</v>
      </c>
      <c r="G28" s="5">
        <f>G27*Assumptions!$F$28+F29</f>
        <v>0</v>
      </c>
      <c r="H28" s="5">
        <f>H27*Assumptions!$F$28+G29</f>
        <v>4500</v>
      </c>
      <c r="I28" s="5">
        <f>I27*Assumptions!$F$28+H29</f>
        <v>10500</v>
      </c>
      <c r="J28" s="5">
        <f>J27*Assumptions!$F$28+I29</f>
        <v>0</v>
      </c>
      <c r="K28" s="5">
        <f>K27*Assumptions!$F$28+J29</f>
        <v>0</v>
      </c>
      <c r="L28" s="5">
        <f>L27*Assumptions!$F$28+K29</f>
        <v>0</v>
      </c>
      <c r="M28" s="5">
        <f>M27*Assumptions!$F$28+L29</f>
        <v>4500</v>
      </c>
      <c r="N28" s="5">
        <f>N27*Assumptions!$F$28+M29</f>
        <v>10500</v>
      </c>
      <c r="O28" s="5">
        <f>O27*Assumptions!$F$28+N29</f>
        <v>0</v>
      </c>
      <c r="P28" s="5">
        <f>P27*Assumptions!$F$28+O29</f>
        <v>0</v>
      </c>
      <c r="Q28" s="5">
        <f>Q27*Assumptions!$F$28+P29</f>
        <v>0</v>
      </c>
      <c r="R28" s="5">
        <f>R27*Assumptions!$F$28+Q29</f>
        <v>0</v>
      </c>
      <c r="S28" s="5">
        <f>S27*Assumptions!$F$28+R29</f>
        <v>4500</v>
      </c>
      <c r="T28" s="5">
        <f>T27*Assumptions!$F$28+S29</f>
        <v>10500</v>
      </c>
      <c r="U28" s="5">
        <f>U27*Assumptions!$F$28+T29</f>
        <v>4500</v>
      </c>
      <c r="V28" s="5">
        <f>V27*Assumptions!$F$28+U29</f>
        <v>10500</v>
      </c>
      <c r="W28" s="5">
        <f>W27*Assumptions!$F$28+V29</f>
        <v>0</v>
      </c>
      <c r="X28" s="5">
        <f>X27*Assumptions!$F$28+W29</f>
        <v>4500</v>
      </c>
      <c r="Y28" s="5">
        <f>Y27*Assumptions!$F$28+X29</f>
        <v>15000</v>
      </c>
      <c r="Z28" s="5">
        <f>Z27*Assumptions!$F$28+Y29</f>
        <v>10500</v>
      </c>
      <c r="AA28" s="5">
        <f>AA27*Assumptions!$F$28+Z29</f>
        <v>0</v>
      </c>
      <c r="AB28" s="5">
        <f>AB27*Assumptions!$F$28+AA29</f>
        <v>0</v>
      </c>
      <c r="AC28" s="5">
        <f>AC27*Assumptions!$F$28+AB29</f>
        <v>0</v>
      </c>
      <c r="AD28" s="5">
        <f>AD27*Assumptions!$F$28+AC29</f>
        <v>4500</v>
      </c>
      <c r="AE28" s="5">
        <f>AE27*Assumptions!$F$28+AD29</f>
        <v>10500</v>
      </c>
      <c r="AF28" s="5">
        <f>AF27*Assumptions!$F$28+AE29</f>
        <v>4500</v>
      </c>
      <c r="AG28" s="5">
        <f>AG27*Assumptions!$F$28+AF29</f>
        <v>15000</v>
      </c>
      <c r="AH28" s="5">
        <f>AH27*Assumptions!$F$28+AG29</f>
        <v>10500</v>
      </c>
      <c r="AI28" s="5">
        <f>AI27*Assumptions!$F$28+AH29</f>
        <v>0</v>
      </c>
      <c r="AJ28" s="5">
        <f>AJ27*Assumptions!$F$28+AI29</f>
        <v>4500</v>
      </c>
      <c r="AK28" s="5">
        <f>AK27*Assumptions!$F$28+AJ29</f>
        <v>15000</v>
      </c>
      <c r="AL28" s="5">
        <f>AL27*Assumptions!$F$28+AK29</f>
        <v>15000</v>
      </c>
      <c r="AM28" s="5">
        <f>AM27*Assumptions!$F$28+AL29</f>
        <v>10500</v>
      </c>
    </row>
    <row r="29" spans="3:39" ht="23.1" customHeight="1">
      <c r="C29" s="4" t="s">
        <v>119</v>
      </c>
      <c r="D29" s="5">
        <f>D27*(1-Assumptions!$F$28)</f>
        <v>0</v>
      </c>
      <c r="E29" s="5">
        <f>E27*(1-Assumptions!$F$28)</f>
        <v>0</v>
      </c>
      <c r="F29" s="5">
        <f>F27*(1-Assumptions!$F$28)</f>
        <v>0</v>
      </c>
      <c r="G29" s="5">
        <f>G27*(1-Assumptions!$F$28)</f>
        <v>0</v>
      </c>
      <c r="H29" s="5">
        <f>H27*(1-Assumptions!$F$28)</f>
        <v>10500</v>
      </c>
      <c r="I29" s="5">
        <f>I27*(1-Assumptions!$F$28)</f>
        <v>0</v>
      </c>
      <c r="J29" s="5">
        <f>J27*(1-Assumptions!$F$28)</f>
        <v>0</v>
      </c>
      <c r="K29" s="5">
        <f>K27*(1-Assumptions!$F$28)</f>
        <v>0</v>
      </c>
      <c r="L29" s="5">
        <f>L27*(1-Assumptions!$F$28)</f>
        <v>0</v>
      </c>
      <c r="M29" s="5">
        <f>M27*(1-Assumptions!$F$28)</f>
        <v>10500</v>
      </c>
      <c r="N29" s="5">
        <f>N27*(1-Assumptions!$F$28)</f>
        <v>0</v>
      </c>
      <c r="O29" s="5">
        <f>O27*(1-Assumptions!$F$28)</f>
        <v>0</v>
      </c>
      <c r="P29" s="5">
        <f>P27*(1-Assumptions!$F$28)</f>
        <v>0</v>
      </c>
      <c r="Q29" s="5">
        <f>Q27*(1-Assumptions!$F$28)</f>
        <v>0</v>
      </c>
      <c r="R29" s="5">
        <f>R27*(1-Assumptions!$F$28)</f>
        <v>0</v>
      </c>
      <c r="S29" s="5">
        <f>S27*(1-Assumptions!$F$28)</f>
        <v>10500</v>
      </c>
      <c r="T29" s="5">
        <f>T27*(1-Assumptions!$F$28)</f>
        <v>0</v>
      </c>
      <c r="U29" s="5">
        <f>U27*(1-Assumptions!$F$28)</f>
        <v>10500</v>
      </c>
      <c r="V29" s="5">
        <f>V27*(1-Assumptions!$F$28)</f>
        <v>0</v>
      </c>
      <c r="W29" s="5">
        <f>W27*(1-Assumptions!$F$28)</f>
        <v>0</v>
      </c>
      <c r="X29" s="5">
        <f>X27*(1-Assumptions!$F$28)</f>
        <v>10500</v>
      </c>
      <c r="Y29" s="5">
        <f>Y27*(1-Assumptions!$F$28)</f>
        <v>10500</v>
      </c>
      <c r="Z29" s="5">
        <f>Z27*(1-Assumptions!$F$28)</f>
        <v>0</v>
      </c>
      <c r="AA29" s="5">
        <f>AA27*(1-Assumptions!$F$28)</f>
        <v>0</v>
      </c>
      <c r="AB29" s="5">
        <f>AB27*(1-Assumptions!$F$28)</f>
        <v>0</v>
      </c>
      <c r="AC29" s="5">
        <f>AC27*(1-Assumptions!$F$28)</f>
        <v>0</v>
      </c>
      <c r="AD29" s="5">
        <f>AD27*(1-Assumptions!$F$28)</f>
        <v>10500</v>
      </c>
      <c r="AE29" s="5">
        <f>AE27*(1-Assumptions!$F$28)</f>
        <v>0</v>
      </c>
      <c r="AF29" s="5">
        <f>AF27*(1-Assumptions!$F$28)</f>
        <v>10500</v>
      </c>
      <c r="AG29" s="5">
        <f>AG27*(1-Assumptions!$F$28)</f>
        <v>10500</v>
      </c>
      <c r="AH29" s="5">
        <f>AH27*(1-Assumptions!$F$28)</f>
        <v>0</v>
      </c>
      <c r="AI29" s="5">
        <f>AI27*(1-Assumptions!$F$28)</f>
        <v>0</v>
      </c>
      <c r="AJ29" s="5">
        <f>AJ27*(1-Assumptions!$F$28)</f>
        <v>10500</v>
      </c>
      <c r="AK29" s="5">
        <f>AK27*(1-Assumptions!$F$28)</f>
        <v>10500</v>
      </c>
      <c r="AL29" s="5">
        <f>AL27*(1-Assumptions!$F$28)</f>
        <v>10500</v>
      </c>
      <c r="AM29" s="5">
        <f>AM27*(1-Assumptions!$F$28)</f>
        <v>0</v>
      </c>
    </row>
    <row r="30" spans="3:39" ht="23.1" customHeight="1">
      <c r="C30" s="4" t="s">
        <v>120</v>
      </c>
      <c r="D30" s="5">
        <f>D26*Assumptions!$F$14</f>
        <v>0</v>
      </c>
      <c r="E30" s="5">
        <f>E26*Assumptions!$F$14</f>
        <v>0</v>
      </c>
      <c r="F30" s="5">
        <f>F26*Assumptions!$F$14</f>
        <v>0</v>
      </c>
      <c r="G30" s="5">
        <f>G26*Assumptions!$F$14</f>
        <v>0</v>
      </c>
      <c r="H30" s="5">
        <f>H26*Assumptions!$F$14</f>
        <v>100</v>
      </c>
      <c r="I30" s="5">
        <f>I26*Assumptions!$F$14</f>
        <v>0</v>
      </c>
      <c r="J30" s="5">
        <f>J26*Assumptions!$F$14</f>
        <v>0</v>
      </c>
      <c r="K30" s="5">
        <f>K26*Assumptions!$F$14</f>
        <v>0</v>
      </c>
      <c r="L30" s="5">
        <f>L26*Assumptions!$F$14</f>
        <v>0</v>
      </c>
      <c r="M30" s="5">
        <f>M26*Assumptions!$F$14</f>
        <v>100</v>
      </c>
      <c r="N30" s="5">
        <f>N26*Assumptions!$F$14</f>
        <v>0</v>
      </c>
      <c r="O30" s="5">
        <f>O26*Assumptions!$F$14</f>
        <v>0</v>
      </c>
      <c r="P30" s="5">
        <f>P26*Assumptions!$F$14</f>
        <v>0</v>
      </c>
      <c r="Q30" s="5">
        <f>Q26*Assumptions!$F$14</f>
        <v>0</v>
      </c>
      <c r="R30" s="5">
        <f>R26*Assumptions!$F$14</f>
        <v>0</v>
      </c>
      <c r="S30" s="5">
        <f>S26*Assumptions!$F$14</f>
        <v>100</v>
      </c>
      <c r="T30" s="5">
        <f>T26*Assumptions!$F$14</f>
        <v>0</v>
      </c>
      <c r="U30" s="5">
        <f>U26*Assumptions!$F$14</f>
        <v>100</v>
      </c>
      <c r="V30" s="5">
        <f>V26*Assumptions!$F$14</f>
        <v>0</v>
      </c>
      <c r="W30" s="5">
        <f>W26*Assumptions!$F$14</f>
        <v>0</v>
      </c>
      <c r="X30" s="5">
        <f>X26*Assumptions!$F$14</f>
        <v>100</v>
      </c>
      <c r="Y30" s="5">
        <f>Y26*Assumptions!$F$14</f>
        <v>100</v>
      </c>
      <c r="Z30" s="5">
        <f>Z26*Assumptions!$F$14</f>
        <v>0</v>
      </c>
      <c r="AA30" s="5">
        <f>AA26*Assumptions!$F$14</f>
        <v>0</v>
      </c>
      <c r="AB30" s="5">
        <f>AB26*Assumptions!$F$14</f>
        <v>0</v>
      </c>
      <c r="AC30" s="5">
        <f>AC26*Assumptions!$F$14</f>
        <v>0</v>
      </c>
      <c r="AD30" s="5">
        <f>AD26*Assumptions!$F$14</f>
        <v>100</v>
      </c>
      <c r="AE30" s="5">
        <f>AE26*Assumptions!$F$14</f>
        <v>0</v>
      </c>
      <c r="AF30" s="5">
        <f>AF26*Assumptions!$F$14</f>
        <v>100</v>
      </c>
      <c r="AG30" s="5">
        <f>AG26*Assumptions!$F$14</f>
        <v>100</v>
      </c>
      <c r="AH30" s="5">
        <f>AH26*Assumptions!$F$14</f>
        <v>0</v>
      </c>
      <c r="AI30" s="5">
        <f>AI26*Assumptions!$F$14</f>
        <v>0</v>
      </c>
      <c r="AJ30" s="5">
        <f>AJ26*Assumptions!$F$14</f>
        <v>100</v>
      </c>
      <c r="AK30" s="5">
        <f>AK26*Assumptions!$F$14</f>
        <v>100</v>
      </c>
      <c r="AL30" s="5">
        <f>AL26*Assumptions!$F$14</f>
        <v>100</v>
      </c>
      <c r="AM30" s="5">
        <f>AM26*Assumptions!$F$14</f>
        <v>0</v>
      </c>
    </row>
    <row r="31" spans="3:39" ht="23.1" customHeight="1">
      <c r="C31" s="4" t="s">
        <v>121</v>
      </c>
      <c r="D31" s="5">
        <f>MIN(D30,MAX(0,Assumptions!$F$30-Assumptions!$F$31))</f>
        <v>0</v>
      </c>
      <c r="E31" s="5">
        <f>MIN(E30,MAX(0,Assumptions!$F$30-Assumptions!$F$31))</f>
        <v>0</v>
      </c>
      <c r="F31" s="5">
        <f>MIN(F30,MAX(0,Assumptions!$F$30-Assumptions!$F$31))</f>
        <v>0</v>
      </c>
      <c r="G31" s="5">
        <f>MIN(G30,MAX(0,Assumptions!$F$30-Assumptions!$F$31))</f>
        <v>0</v>
      </c>
      <c r="H31" s="5">
        <f>MIN(H30,MAX(0,Assumptions!$F$30-Assumptions!$F$31))</f>
        <v>80</v>
      </c>
      <c r="I31" s="5">
        <f>MIN(I30,MAX(0,Assumptions!$F$30-Assumptions!$F$31))</f>
        <v>0</v>
      </c>
      <c r="J31" s="5">
        <f>MIN(J30,MAX(0,Assumptions!$F$30-Assumptions!$F$31))</f>
        <v>0</v>
      </c>
      <c r="K31" s="5">
        <f>MIN(K30,MAX(0,Assumptions!$F$30-Assumptions!$F$31))</f>
        <v>0</v>
      </c>
      <c r="L31" s="5">
        <f>MIN(L30,MAX(0,Assumptions!$F$30-Assumptions!$F$31))</f>
        <v>0</v>
      </c>
      <c r="M31" s="5">
        <f>MIN(M30,MAX(0,Assumptions!$F$30-Assumptions!$F$31))</f>
        <v>80</v>
      </c>
      <c r="N31" s="5">
        <f>MIN(N30,MAX(0,Assumptions!$F$30-Assumptions!$F$31))</f>
        <v>0</v>
      </c>
      <c r="O31" s="5">
        <f>MIN(O30,MAX(0,Assumptions!$F$30-Assumptions!$F$31))</f>
        <v>0</v>
      </c>
      <c r="P31" s="5">
        <f>MIN(P30,MAX(0,Assumptions!$F$30-Assumptions!$F$31))</f>
        <v>0</v>
      </c>
      <c r="Q31" s="5">
        <f>MIN(Q30,MAX(0,Assumptions!$F$30-Assumptions!$F$31))</f>
        <v>0</v>
      </c>
      <c r="R31" s="5">
        <f>MIN(R30,MAX(0,Assumptions!$F$30-Assumptions!$F$31))</f>
        <v>0</v>
      </c>
      <c r="S31" s="5">
        <f>MIN(S30,MAX(0,Assumptions!$F$30-Assumptions!$F$31))</f>
        <v>80</v>
      </c>
      <c r="T31" s="5">
        <f>MIN(T30,MAX(0,Assumptions!$F$30-Assumptions!$F$31))</f>
        <v>0</v>
      </c>
      <c r="U31" s="5">
        <f>MIN(U30,MAX(0,Assumptions!$F$30-Assumptions!$F$31))</f>
        <v>80</v>
      </c>
      <c r="V31" s="5">
        <f>MIN(V30,MAX(0,Assumptions!$F$30-Assumptions!$F$31))</f>
        <v>0</v>
      </c>
      <c r="W31" s="5">
        <f>MIN(W30,MAX(0,Assumptions!$F$30-Assumptions!$F$31))</f>
        <v>0</v>
      </c>
      <c r="X31" s="5">
        <f>MIN(X30,MAX(0,Assumptions!$F$30-Assumptions!$F$31))</f>
        <v>80</v>
      </c>
      <c r="Y31" s="5">
        <f>MIN(Y30,MAX(0,Assumptions!$F$30-Assumptions!$F$31))</f>
        <v>80</v>
      </c>
      <c r="Z31" s="5">
        <f>MIN(Z30,MAX(0,Assumptions!$F$30-Assumptions!$F$31))</f>
        <v>0</v>
      </c>
      <c r="AA31" s="5">
        <f>MIN(AA30,MAX(0,Assumptions!$F$30-Assumptions!$F$31))</f>
        <v>0</v>
      </c>
      <c r="AB31" s="5">
        <f>MIN(AB30,MAX(0,Assumptions!$F$30-Assumptions!$F$31))</f>
        <v>0</v>
      </c>
      <c r="AC31" s="5">
        <f>MIN(AC30,MAX(0,Assumptions!$F$30-Assumptions!$F$31))</f>
        <v>0</v>
      </c>
      <c r="AD31" s="5">
        <f>MIN(AD30,MAX(0,Assumptions!$F$30-Assumptions!$F$31))</f>
        <v>80</v>
      </c>
      <c r="AE31" s="5">
        <f>MIN(AE30,MAX(0,Assumptions!$F$30-Assumptions!$F$31))</f>
        <v>0</v>
      </c>
      <c r="AF31" s="5">
        <f>MIN(AF30,MAX(0,Assumptions!$F$30-Assumptions!$F$31))</f>
        <v>80</v>
      </c>
      <c r="AG31" s="5">
        <f>MIN(AG30,MAX(0,Assumptions!$F$30-Assumptions!$F$31))</f>
        <v>80</v>
      </c>
      <c r="AH31" s="5">
        <f>MIN(AH30,MAX(0,Assumptions!$F$30-Assumptions!$F$31))</f>
        <v>0</v>
      </c>
      <c r="AI31" s="5">
        <f>MIN(AI30,MAX(0,Assumptions!$F$30-Assumptions!$F$31))</f>
        <v>0</v>
      </c>
      <c r="AJ31" s="5">
        <f>MIN(AJ30,MAX(0,Assumptions!$F$30-Assumptions!$F$31))</f>
        <v>80</v>
      </c>
      <c r="AK31" s="5">
        <f>MIN(AK30,MAX(0,Assumptions!$F$30-Assumptions!$F$31))</f>
        <v>80</v>
      </c>
      <c r="AL31" s="5">
        <f>MIN(AL30,MAX(0,Assumptions!$F$30-Assumptions!$F$31))</f>
        <v>80</v>
      </c>
      <c r="AM31" s="5">
        <f>MIN(AM30,MAX(0,Assumptions!$F$30-Assumptions!$F$31))</f>
        <v>0</v>
      </c>
    </row>
    <row r="32" spans="3:39" ht="23.1" customHeight="1">
      <c r="C32" s="4" t="s">
        <v>17</v>
      </c>
      <c r="D32" s="11">
        <f t="shared" ref="D32:AM32" si="2">MAX(0,D30-D31)</f>
        <v>0</v>
      </c>
      <c r="E32" s="11">
        <f t="shared" si="2"/>
        <v>0</v>
      </c>
      <c r="F32" s="11">
        <f t="shared" si="2"/>
        <v>0</v>
      </c>
      <c r="G32" s="11">
        <f t="shared" si="2"/>
        <v>0</v>
      </c>
      <c r="H32" s="11">
        <f t="shared" si="2"/>
        <v>20</v>
      </c>
      <c r="I32" s="11">
        <f t="shared" si="2"/>
        <v>0</v>
      </c>
      <c r="J32" s="11">
        <f t="shared" si="2"/>
        <v>0</v>
      </c>
      <c r="K32" s="11">
        <f t="shared" si="2"/>
        <v>0</v>
      </c>
      <c r="L32" s="11">
        <f t="shared" si="2"/>
        <v>0</v>
      </c>
      <c r="M32" s="11">
        <f t="shared" si="2"/>
        <v>20</v>
      </c>
      <c r="N32" s="11">
        <f t="shared" si="2"/>
        <v>0</v>
      </c>
      <c r="O32" s="11">
        <f t="shared" si="2"/>
        <v>0</v>
      </c>
      <c r="P32" s="11">
        <f t="shared" si="2"/>
        <v>0</v>
      </c>
      <c r="Q32" s="11">
        <f t="shared" si="2"/>
        <v>0</v>
      </c>
      <c r="R32" s="11">
        <f t="shared" si="2"/>
        <v>0</v>
      </c>
      <c r="S32" s="11">
        <f t="shared" si="2"/>
        <v>20</v>
      </c>
      <c r="T32" s="11">
        <f t="shared" si="2"/>
        <v>0</v>
      </c>
      <c r="U32" s="11">
        <f t="shared" si="2"/>
        <v>20</v>
      </c>
      <c r="V32" s="11">
        <f t="shared" si="2"/>
        <v>0</v>
      </c>
      <c r="W32" s="11">
        <f t="shared" si="2"/>
        <v>0</v>
      </c>
      <c r="X32" s="11">
        <f t="shared" si="2"/>
        <v>20</v>
      </c>
      <c r="Y32" s="11">
        <f t="shared" si="2"/>
        <v>20</v>
      </c>
      <c r="Z32" s="11">
        <f t="shared" si="2"/>
        <v>0</v>
      </c>
      <c r="AA32" s="11">
        <f t="shared" si="2"/>
        <v>0</v>
      </c>
      <c r="AB32" s="11">
        <f t="shared" si="2"/>
        <v>0</v>
      </c>
      <c r="AC32" s="11">
        <f t="shared" si="2"/>
        <v>0</v>
      </c>
      <c r="AD32" s="11">
        <f t="shared" si="2"/>
        <v>20</v>
      </c>
      <c r="AE32" s="11">
        <f t="shared" si="2"/>
        <v>0</v>
      </c>
      <c r="AF32" s="11">
        <f t="shared" si="2"/>
        <v>20</v>
      </c>
      <c r="AG32" s="11">
        <f t="shared" si="2"/>
        <v>20</v>
      </c>
      <c r="AH32" s="11">
        <f t="shared" si="2"/>
        <v>0</v>
      </c>
      <c r="AI32" s="11">
        <f t="shared" si="2"/>
        <v>0</v>
      </c>
      <c r="AJ32" s="11">
        <f t="shared" si="2"/>
        <v>20</v>
      </c>
      <c r="AK32" s="11">
        <f t="shared" si="2"/>
        <v>20</v>
      </c>
      <c r="AL32" s="11">
        <f t="shared" si="2"/>
        <v>20</v>
      </c>
      <c r="AM32" s="11">
        <f t="shared" si="2"/>
        <v>0</v>
      </c>
    </row>
    <row r="33" spans="3:39" ht="23.1" customHeight="1">
      <c r="C33" s="4" t="s">
        <v>122</v>
      </c>
      <c r="D33" s="5">
        <f>MAX(0,Assumptions!$F$30-Assumptions!$F$31)+Assumptions!$F$32-D30</f>
        <v>240</v>
      </c>
      <c r="E33" s="5">
        <f>MAX(0,Assumptions!$F$30-Assumptions!$F$31)+Assumptions!$F$32-E30</f>
        <v>240</v>
      </c>
      <c r="F33" s="5">
        <f>MAX(0,Assumptions!$F$30-Assumptions!$F$31)+Assumptions!$F$32-F30</f>
        <v>240</v>
      </c>
      <c r="G33" s="5">
        <f>MAX(0,Assumptions!$F$30-Assumptions!$F$31)+Assumptions!$F$32-G30</f>
        <v>240</v>
      </c>
      <c r="H33" s="5">
        <f>MAX(0,Assumptions!$F$30-Assumptions!$F$31)+Assumptions!$F$32-H30</f>
        <v>140</v>
      </c>
      <c r="I33" s="5">
        <f>MAX(0,Assumptions!$F$30-Assumptions!$F$31)+Assumptions!$F$32-I30</f>
        <v>240</v>
      </c>
      <c r="J33" s="5">
        <f>MAX(0,Assumptions!$F$30-Assumptions!$F$31)+Assumptions!$F$32-J30</f>
        <v>240</v>
      </c>
      <c r="K33" s="5">
        <f>MAX(0,Assumptions!$F$30-Assumptions!$F$31)+Assumptions!$F$32-K30</f>
        <v>240</v>
      </c>
      <c r="L33" s="5">
        <f>MAX(0,Assumptions!$F$30-Assumptions!$F$31)+Assumptions!$F$32-L30</f>
        <v>240</v>
      </c>
      <c r="M33" s="5">
        <f>MAX(0,Assumptions!$F$30-Assumptions!$F$31)+Assumptions!$F$32-M30</f>
        <v>140</v>
      </c>
      <c r="N33" s="5">
        <f>MAX(0,Assumptions!$F$30-Assumptions!$F$31)+Assumptions!$F$32-N30</f>
        <v>240</v>
      </c>
      <c r="O33" s="5">
        <f>MAX(0,Assumptions!$F$30-Assumptions!$F$31)+Assumptions!$F$32-O30</f>
        <v>240</v>
      </c>
      <c r="P33" s="5">
        <f>MAX(0,Assumptions!$F$30-Assumptions!$F$31)+Assumptions!$F$32-P30</f>
        <v>240</v>
      </c>
      <c r="Q33" s="5">
        <f>MAX(0,Assumptions!$F$30-Assumptions!$F$31)+Assumptions!$F$32-Q30</f>
        <v>240</v>
      </c>
      <c r="R33" s="5">
        <f>MAX(0,Assumptions!$F$30-Assumptions!$F$31)+Assumptions!$F$32-R30</f>
        <v>240</v>
      </c>
      <c r="S33" s="5">
        <f>MAX(0,Assumptions!$F$30-Assumptions!$F$31)+Assumptions!$F$32-S30</f>
        <v>140</v>
      </c>
      <c r="T33" s="5">
        <f>MAX(0,Assumptions!$F$30-Assumptions!$F$31)+Assumptions!$F$32-T30</f>
        <v>240</v>
      </c>
      <c r="U33" s="5">
        <f>MAX(0,Assumptions!$F$30-Assumptions!$F$31)+Assumptions!$F$32-U30</f>
        <v>140</v>
      </c>
      <c r="V33" s="5">
        <f>MAX(0,Assumptions!$F$30-Assumptions!$F$31)+Assumptions!$F$32-V30</f>
        <v>240</v>
      </c>
      <c r="W33" s="5">
        <f>MAX(0,Assumptions!$F$30-Assumptions!$F$31)+Assumptions!$F$32-W30</f>
        <v>240</v>
      </c>
      <c r="X33" s="5">
        <f>MAX(0,Assumptions!$F$30-Assumptions!$F$31)+Assumptions!$F$32-X30</f>
        <v>140</v>
      </c>
      <c r="Y33" s="5">
        <f>MAX(0,Assumptions!$F$30-Assumptions!$F$31)+Assumptions!$F$32-Y30</f>
        <v>140</v>
      </c>
      <c r="Z33" s="5">
        <f>MAX(0,Assumptions!$F$30-Assumptions!$F$31)+Assumptions!$F$32-Z30</f>
        <v>240</v>
      </c>
      <c r="AA33" s="5">
        <f>MAX(0,Assumptions!$F$30-Assumptions!$F$31)+Assumptions!$F$32-AA30</f>
        <v>240</v>
      </c>
      <c r="AB33" s="5">
        <f>MAX(0,Assumptions!$F$30-Assumptions!$F$31)+Assumptions!$F$32-AB30</f>
        <v>240</v>
      </c>
      <c r="AC33" s="5">
        <f>MAX(0,Assumptions!$F$30-Assumptions!$F$31)+Assumptions!$F$32-AC30</f>
        <v>240</v>
      </c>
      <c r="AD33" s="5">
        <f>MAX(0,Assumptions!$F$30-Assumptions!$F$31)+Assumptions!$F$32-AD30</f>
        <v>140</v>
      </c>
      <c r="AE33" s="5">
        <f>MAX(0,Assumptions!$F$30-Assumptions!$F$31)+Assumptions!$F$32-AE30</f>
        <v>240</v>
      </c>
      <c r="AF33" s="5">
        <f>MAX(0,Assumptions!$F$30-Assumptions!$F$31)+Assumptions!$F$32-AF30</f>
        <v>140</v>
      </c>
      <c r="AG33" s="5">
        <f>MAX(0,Assumptions!$F$30-Assumptions!$F$31)+Assumptions!$F$32-AG30</f>
        <v>140</v>
      </c>
      <c r="AH33" s="5">
        <f>MAX(0,Assumptions!$F$30-Assumptions!$F$31)+Assumptions!$F$32-AH30</f>
        <v>240</v>
      </c>
      <c r="AI33" s="5">
        <f>MAX(0,Assumptions!$F$30-Assumptions!$F$31)+Assumptions!$F$32-AI30</f>
        <v>240</v>
      </c>
      <c r="AJ33" s="5">
        <f>MAX(0,Assumptions!$F$30-Assumptions!$F$31)+Assumptions!$F$32-AJ30</f>
        <v>140</v>
      </c>
      <c r="AK33" s="5">
        <f>MAX(0,Assumptions!$F$30-Assumptions!$F$31)+Assumptions!$F$32-AK30</f>
        <v>140</v>
      </c>
      <c r="AL33" s="5">
        <f>MAX(0,Assumptions!$F$30-Assumptions!$F$31)+Assumptions!$F$32-AL30</f>
        <v>140</v>
      </c>
      <c r="AM33" s="5">
        <f>MAX(0,Assumptions!$F$30-Assumptions!$F$31)+Assumptions!$F$32-AM30</f>
        <v>240</v>
      </c>
    </row>
    <row r="34" spans="3:39" ht="23.1" customHeight="1">
      <c r="C34" t="s">
        <v>123</v>
      </c>
      <c r="D34">
        <f t="shared" ref="D34:AM34" si="3">ABS(D26-ROUND(D26,0))</f>
        <v>0</v>
      </c>
      <c r="E34">
        <f t="shared" si="3"/>
        <v>0</v>
      </c>
      <c r="F34">
        <f t="shared" si="3"/>
        <v>0</v>
      </c>
      <c r="G34">
        <f t="shared" si="3"/>
        <v>0</v>
      </c>
      <c r="H34">
        <f t="shared" si="3"/>
        <v>0</v>
      </c>
      <c r="I34">
        <f t="shared" si="3"/>
        <v>0</v>
      </c>
      <c r="J34">
        <f t="shared" si="3"/>
        <v>0</v>
      </c>
      <c r="K34">
        <f t="shared" si="3"/>
        <v>0</v>
      </c>
      <c r="L34">
        <f t="shared" si="3"/>
        <v>0</v>
      </c>
      <c r="M34">
        <f t="shared" si="3"/>
        <v>0</v>
      </c>
      <c r="N34">
        <f t="shared" si="3"/>
        <v>0</v>
      </c>
      <c r="O34">
        <f t="shared" si="3"/>
        <v>0</v>
      </c>
      <c r="P34">
        <f t="shared" si="3"/>
        <v>0</v>
      </c>
      <c r="Q34">
        <f t="shared" si="3"/>
        <v>0</v>
      </c>
      <c r="R34">
        <f t="shared" si="3"/>
        <v>0</v>
      </c>
      <c r="S34">
        <f t="shared" si="3"/>
        <v>0</v>
      </c>
      <c r="T34">
        <f t="shared" si="3"/>
        <v>0</v>
      </c>
      <c r="U34">
        <f t="shared" si="3"/>
        <v>0</v>
      </c>
      <c r="V34">
        <f t="shared" si="3"/>
        <v>0</v>
      </c>
      <c r="W34">
        <f t="shared" si="3"/>
        <v>0</v>
      </c>
      <c r="X34">
        <f t="shared" si="3"/>
        <v>0</v>
      </c>
      <c r="Y34">
        <f t="shared" si="3"/>
        <v>0</v>
      </c>
      <c r="Z34">
        <f t="shared" si="3"/>
        <v>0</v>
      </c>
      <c r="AA34">
        <f t="shared" si="3"/>
        <v>0</v>
      </c>
      <c r="AB34">
        <f t="shared" si="3"/>
        <v>0</v>
      </c>
      <c r="AC34">
        <f t="shared" si="3"/>
        <v>0</v>
      </c>
      <c r="AD34">
        <f t="shared" si="3"/>
        <v>0</v>
      </c>
      <c r="AE34">
        <f t="shared" si="3"/>
        <v>0</v>
      </c>
      <c r="AF34">
        <f t="shared" si="3"/>
        <v>0</v>
      </c>
      <c r="AG34">
        <f t="shared" si="3"/>
        <v>0</v>
      </c>
      <c r="AH34">
        <f t="shared" si="3"/>
        <v>0</v>
      </c>
      <c r="AI34">
        <f t="shared" si="3"/>
        <v>0</v>
      </c>
      <c r="AJ34">
        <f t="shared" si="3"/>
        <v>0</v>
      </c>
      <c r="AK34">
        <f t="shared" si="3"/>
        <v>0</v>
      </c>
      <c r="AL34">
        <f t="shared" si="3"/>
        <v>0</v>
      </c>
      <c r="AM34">
        <f t="shared" si="3"/>
        <v>0</v>
      </c>
    </row>
    <row r="35" spans="3:39" ht="23.1" customHeight="1"/>
    <row r="36" spans="3:39" ht="23.1" customHeight="1"/>
    <row r="37" spans="3:39" ht="23.1" customHeight="1"/>
    <row r="38" spans="3:39" ht="23.1" customHeight="1"/>
    <row r="39" spans="3:39" ht="23.1" customHeight="1"/>
    <row r="40" spans="3:39" ht="23.1" customHeight="1"/>
    <row r="41" spans="3:39" ht="23.1" customHeight="1"/>
    <row r="42" spans="3:39" ht="30" customHeight="1">
      <c r="C42" s="3" t="s">
        <v>29</v>
      </c>
      <c r="D42" s="10">
        <v>46388</v>
      </c>
      <c r="E42" s="10">
        <v>46419</v>
      </c>
      <c r="F42" s="10">
        <v>46447</v>
      </c>
      <c r="G42" s="10">
        <v>46478</v>
      </c>
      <c r="H42" s="10">
        <v>46508</v>
      </c>
      <c r="I42" s="10">
        <v>46539</v>
      </c>
      <c r="J42" s="10">
        <v>46569</v>
      </c>
      <c r="K42" s="10">
        <v>46600</v>
      </c>
      <c r="L42" s="10">
        <v>46631</v>
      </c>
      <c r="M42" s="10">
        <v>46661</v>
      </c>
      <c r="N42" s="10">
        <v>46692</v>
      </c>
      <c r="O42" s="10">
        <v>46722</v>
      </c>
      <c r="P42" s="10">
        <v>46753</v>
      </c>
      <c r="Q42" s="10">
        <v>46784</v>
      </c>
      <c r="R42" s="10">
        <v>46813</v>
      </c>
      <c r="S42" s="10">
        <v>46844</v>
      </c>
      <c r="T42" s="10">
        <v>46874</v>
      </c>
      <c r="U42" s="10">
        <v>46905</v>
      </c>
      <c r="V42" s="10">
        <v>46935</v>
      </c>
      <c r="W42" s="10">
        <v>46966</v>
      </c>
      <c r="X42" s="10">
        <v>46997</v>
      </c>
      <c r="Y42" s="10">
        <v>47027</v>
      </c>
      <c r="Z42" s="10">
        <v>47058</v>
      </c>
      <c r="AA42" s="10">
        <v>47088</v>
      </c>
      <c r="AB42" s="10">
        <v>47119</v>
      </c>
      <c r="AC42" s="10">
        <v>47150</v>
      </c>
      <c r="AD42" s="10">
        <v>47178</v>
      </c>
      <c r="AE42" s="10">
        <v>47209</v>
      </c>
      <c r="AF42" s="10">
        <v>47239</v>
      </c>
      <c r="AG42" s="10">
        <v>47270</v>
      </c>
      <c r="AH42" s="10">
        <v>47300</v>
      </c>
      <c r="AI42" s="10">
        <v>47331</v>
      </c>
      <c r="AJ42" s="10">
        <v>47362</v>
      </c>
      <c r="AK42" s="10">
        <v>47392</v>
      </c>
      <c r="AL42" s="10">
        <v>47423</v>
      </c>
      <c r="AM42" s="10">
        <v>47453</v>
      </c>
    </row>
    <row r="43" spans="3:39" ht="23.1" customHeight="1">
      <c r="C43" s="4" t="s">
        <v>116</v>
      </c>
      <c r="D43" s="7">
        <v>0</v>
      </c>
      <c r="E43" s="7">
        <v>0</v>
      </c>
      <c r="F43" s="7">
        <v>1</v>
      </c>
      <c r="G43" s="7">
        <v>0</v>
      </c>
      <c r="H43" s="7">
        <v>1</v>
      </c>
      <c r="I43" s="7">
        <v>1</v>
      </c>
      <c r="J43" s="7">
        <v>0</v>
      </c>
      <c r="K43" s="7">
        <v>0</v>
      </c>
      <c r="L43" s="7">
        <v>1</v>
      </c>
      <c r="M43" s="7">
        <v>1</v>
      </c>
      <c r="N43" s="7">
        <v>1</v>
      </c>
      <c r="O43" s="7">
        <v>0</v>
      </c>
      <c r="P43" s="7">
        <v>0</v>
      </c>
      <c r="Q43" s="7">
        <v>1</v>
      </c>
      <c r="R43" s="7">
        <v>1</v>
      </c>
      <c r="S43" s="7">
        <v>2</v>
      </c>
      <c r="T43" s="7">
        <v>1</v>
      </c>
      <c r="U43" s="7">
        <v>2</v>
      </c>
      <c r="V43" s="7">
        <v>0</v>
      </c>
      <c r="W43" s="7">
        <v>0</v>
      </c>
      <c r="X43" s="7">
        <v>2</v>
      </c>
      <c r="Y43" s="7">
        <v>2</v>
      </c>
      <c r="Z43" s="7">
        <v>2</v>
      </c>
      <c r="AA43" s="7">
        <v>1</v>
      </c>
      <c r="AB43" s="7">
        <v>1</v>
      </c>
      <c r="AC43" s="7">
        <v>1</v>
      </c>
      <c r="AD43" s="7">
        <v>2</v>
      </c>
      <c r="AE43" s="7">
        <v>3</v>
      </c>
      <c r="AF43" s="7">
        <v>3</v>
      </c>
      <c r="AG43" s="7">
        <v>3</v>
      </c>
      <c r="AH43" s="7">
        <v>0</v>
      </c>
      <c r="AI43" s="7">
        <v>0</v>
      </c>
      <c r="AJ43" s="7">
        <v>3</v>
      </c>
      <c r="AK43" s="7">
        <v>3</v>
      </c>
      <c r="AL43" s="7">
        <v>3</v>
      </c>
      <c r="AM43" s="7">
        <v>2</v>
      </c>
    </row>
    <row r="44" spans="3:39" ht="23.1" customHeight="1">
      <c r="C44" s="4" t="s">
        <v>117</v>
      </c>
      <c r="D44" s="5">
        <f>IF(SUM(D43:O43)=0,0,D43/SUM(D43:O43)*Assumptions!$G$10)</f>
        <v>0</v>
      </c>
      <c r="E44" s="5">
        <f>IF(SUM(D43:O43)=0,0,E43/SUM(D43:O43)*Assumptions!$G$10)</f>
        <v>0</v>
      </c>
      <c r="F44" s="5">
        <f>IF(SUM(D43:O43)=0,0,F43/SUM(D43:O43)*Assumptions!$G$10)</f>
        <v>1</v>
      </c>
      <c r="G44" s="5">
        <f>IF(SUM(D43:O43)=0,0,G43/SUM(D43:O43)*Assumptions!$G$10)</f>
        <v>0</v>
      </c>
      <c r="H44" s="5">
        <f>IF(SUM(D43:O43)=0,0,H43/SUM(D43:O43)*Assumptions!$G$10)</f>
        <v>1</v>
      </c>
      <c r="I44" s="5">
        <f>IF(SUM(D43:O43)=0,0,I43/SUM(D43:O43)*Assumptions!$G$10)</f>
        <v>1</v>
      </c>
      <c r="J44" s="5">
        <f>IF(SUM(D43:O43)=0,0,J43/SUM(D43:O43)*Assumptions!$G$10)</f>
        <v>0</v>
      </c>
      <c r="K44" s="5">
        <f>IF(SUM(D43:O43)=0,0,K43/SUM(D43:O43)*Assumptions!$G$10)</f>
        <v>0</v>
      </c>
      <c r="L44" s="5">
        <f>IF(SUM(D43:O43)=0,0,L43/SUM(D43:O43)*Assumptions!$G$10)</f>
        <v>1</v>
      </c>
      <c r="M44" s="5">
        <f>IF(SUM(D43:O43)=0,0,M43/SUM(D43:O43)*Assumptions!$G$10)</f>
        <v>1</v>
      </c>
      <c r="N44" s="5">
        <f>IF(SUM(D43:O43)=0,0,N43/SUM(D43:O43)*Assumptions!$G$10)</f>
        <v>1</v>
      </c>
      <c r="O44" s="5">
        <f>IF(SUM(D43:O43)=0,0,O43/SUM(D43:O43)*Assumptions!$G$10)</f>
        <v>0</v>
      </c>
      <c r="P44" s="5">
        <f>IF(SUM(P43:AA43)=0,0,P43/SUM(P43:AA43)*Assumptions!$G$11)</f>
        <v>0</v>
      </c>
      <c r="Q44" s="5">
        <f>IF(SUM(P43:AA43)=0,0,Q43/SUM(P43:AA43)*Assumptions!$G$11)</f>
        <v>1</v>
      </c>
      <c r="R44" s="5">
        <f>IF(SUM(P43:AA43)=0,0,R43/SUM(P43:AA43)*Assumptions!$G$11)</f>
        <v>1</v>
      </c>
      <c r="S44" s="5">
        <f>IF(SUM(P43:AA43)=0,0,S43/SUM(P43:AA43)*Assumptions!$G$11)</f>
        <v>2</v>
      </c>
      <c r="T44" s="5">
        <f>IF(SUM(P43:AA43)=0,0,T43/SUM(P43:AA43)*Assumptions!$G$11)</f>
        <v>1</v>
      </c>
      <c r="U44" s="5">
        <f>IF(SUM(P43:AA43)=0,0,U43/SUM(P43:AA43)*Assumptions!$G$11)</f>
        <v>2</v>
      </c>
      <c r="V44" s="5">
        <f>IF(SUM(P43:AA43)=0,0,V43/SUM(P43:AA43)*Assumptions!$G$11)</f>
        <v>0</v>
      </c>
      <c r="W44" s="5">
        <f>IF(SUM(P43:AA43)=0,0,W43/SUM(P43:AA43)*Assumptions!$G$11)</f>
        <v>0</v>
      </c>
      <c r="X44" s="5">
        <f>IF(SUM(P43:AA43)=0,0,X43/SUM(P43:AA43)*Assumptions!$G$11)</f>
        <v>2</v>
      </c>
      <c r="Y44" s="5">
        <f>IF(SUM(P43:AA43)=0,0,Y43/SUM(P43:AA43)*Assumptions!$G$11)</f>
        <v>2</v>
      </c>
      <c r="Z44" s="5">
        <f>IF(SUM(P43:AA43)=0,0,Z43/SUM(P43:AA43)*Assumptions!$G$11)</f>
        <v>2</v>
      </c>
      <c r="AA44" s="5">
        <f>IF(SUM(P43:AA43)=0,0,AA43/SUM(P43:AA43)*Assumptions!$G$11)</f>
        <v>1</v>
      </c>
      <c r="AB44" s="5">
        <f>IF(SUM(AB43:AM43)=0,0,AB43/SUM(AB43:AM43)*Assumptions!$G$12)</f>
        <v>1</v>
      </c>
      <c r="AC44" s="5">
        <f>IF(SUM(AB43:AM43)=0,0,AC43/SUM(AB43:AM43)*Assumptions!$G$12)</f>
        <v>1</v>
      </c>
      <c r="AD44" s="5">
        <f>IF(SUM(AB43:AM43)=0,0,AD43/SUM(AB43:AM43)*Assumptions!$G$12)</f>
        <v>2</v>
      </c>
      <c r="AE44" s="5">
        <f>IF(SUM(AB43:AM43)=0,0,AE43/SUM(AB43:AM43)*Assumptions!$G$12)</f>
        <v>3</v>
      </c>
      <c r="AF44" s="5">
        <f>IF(SUM(AB43:AM43)=0,0,AF43/SUM(AB43:AM43)*Assumptions!$G$12)</f>
        <v>3</v>
      </c>
      <c r="AG44" s="5">
        <f>IF(SUM(AB43:AM43)=0,0,AG43/SUM(AB43:AM43)*Assumptions!$G$12)</f>
        <v>3</v>
      </c>
      <c r="AH44" s="5">
        <f>IF(SUM(AB43:AM43)=0,0,AH43/SUM(AB43:AM43)*Assumptions!$G$12)</f>
        <v>0</v>
      </c>
      <c r="AI44" s="5">
        <f>IF(SUM(AB43:AM43)=0,0,AI43/SUM(AB43:AM43)*Assumptions!$G$12)</f>
        <v>0</v>
      </c>
      <c r="AJ44" s="5">
        <f>IF(SUM(AB43:AM43)=0,0,AJ43/SUM(AB43:AM43)*Assumptions!$G$12)</f>
        <v>3</v>
      </c>
      <c r="AK44" s="5">
        <f>IF(SUM(AB43:AM43)=0,0,AK43/SUM(AB43:AM43)*Assumptions!$G$12)</f>
        <v>3</v>
      </c>
      <c r="AL44" s="5">
        <f>IF(SUM(AB43:AM43)=0,0,AL43/SUM(AB43:AM43)*Assumptions!$G$12)</f>
        <v>3</v>
      </c>
      <c r="AM44" s="5">
        <f>IF(SUM(AB43:AM43)=0,0,AM43/SUM(AB43:AM43)*Assumptions!$G$12)</f>
        <v>2</v>
      </c>
    </row>
    <row r="45" spans="3:39" ht="23.1" customHeight="1">
      <c r="C45" s="4" t="s">
        <v>10</v>
      </c>
      <c r="D45" s="5">
        <f>D44*Assumptions!$G$13</f>
        <v>0</v>
      </c>
      <c r="E45" s="5">
        <f>E44*Assumptions!$G$13</f>
        <v>0</v>
      </c>
      <c r="F45" s="5">
        <f>F44*Assumptions!$G$13</f>
        <v>22000</v>
      </c>
      <c r="G45" s="5">
        <f>G44*Assumptions!$G$13</f>
        <v>0</v>
      </c>
      <c r="H45" s="5">
        <f>H44*Assumptions!$G$13</f>
        <v>22000</v>
      </c>
      <c r="I45" s="5">
        <f>I44*Assumptions!$G$13</f>
        <v>22000</v>
      </c>
      <c r="J45" s="5">
        <f>J44*Assumptions!$G$13</f>
        <v>0</v>
      </c>
      <c r="K45" s="5">
        <f>K44*Assumptions!$G$13</f>
        <v>0</v>
      </c>
      <c r="L45" s="5">
        <f>L44*Assumptions!$G$13</f>
        <v>22000</v>
      </c>
      <c r="M45" s="5">
        <f>M44*Assumptions!$G$13</f>
        <v>22000</v>
      </c>
      <c r="N45" s="5">
        <f>N44*Assumptions!$G$13</f>
        <v>22000</v>
      </c>
      <c r="O45" s="5">
        <f>O44*Assumptions!$G$13</f>
        <v>0</v>
      </c>
      <c r="P45" s="5">
        <f>P44*Assumptions!$G$13</f>
        <v>0</v>
      </c>
      <c r="Q45" s="5">
        <f>Q44*Assumptions!$G$13</f>
        <v>22000</v>
      </c>
      <c r="R45" s="5">
        <f>R44*Assumptions!$G$13</f>
        <v>22000</v>
      </c>
      <c r="S45" s="5">
        <f>S44*Assumptions!$G$13</f>
        <v>44000</v>
      </c>
      <c r="T45" s="5">
        <f>T44*Assumptions!$G$13</f>
        <v>22000</v>
      </c>
      <c r="U45" s="5">
        <f>U44*Assumptions!$G$13</f>
        <v>44000</v>
      </c>
      <c r="V45" s="5">
        <f>V44*Assumptions!$G$13</f>
        <v>0</v>
      </c>
      <c r="W45" s="5">
        <f>W44*Assumptions!$G$13</f>
        <v>0</v>
      </c>
      <c r="X45" s="5">
        <f>X44*Assumptions!$G$13</f>
        <v>44000</v>
      </c>
      <c r="Y45" s="5">
        <f>Y44*Assumptions!$G$13</f>
        <v>44000</v>
      </c>
      <c r="Z45" s="5">
        <f>Z44*Assumptions!$G$13</f>
        <v>44000</v>
      </c>
      <c r="AA45" s="5">
        <f>AA44*Assumptions!$G$13</f>
        <v>22000</v>
      </c>
      <c r="AB45" s="5">
        <f>AB44*Assumptions!$G$13</f>
        <v>22000</v>
      </c>
      <c r="AC45" s="5">
        <f>AC44*Assumptions!$G$13</f>
        <v>22000</v>
      </c>
      <c r="AD45" s="5">
        <f>AD44*Assumptions!$G$13</f>
        <v>44000</v>
      </c>
      <c r="AE45" s="5">
        <f>AE44*Assumptions!$G$13</f>
        <v>66000</v>
      </c>
      <c r="AF45" s="5">
        <f>AF44*Assumptions!$G$13</f>
        <v>66000</v>
      </c>
      <c r="AG45" s="5">
        <f>AG44*Assumptions!$G$13</f>
        <v>66000</v>
      </c>
      <c r="AH45" s="5">
        <f>AH44*Assumptions!$G$13</f>
        <v>0</v>
      </c>
      <c r="AI45" s="5">
        <f>AI44*Assumptions!$G$13</f>
        <v>0</v>
      </c>
      <c r="AJ45" s="5">
        <f>AJ44*Assumptions!$G$13</f>
        <v>66000</v>
      </c>
      <c r="AK45" s="5">
        <f>AK44*Assumptions!$G$13</f>
        <v>66000</v>
      </c>
      <c r="AL45" s="5">
        <f>AL44*Assumptions!$G$13</f>
        <v>66000</v>
      </c>
      <c r="AM45" s="5">
        <f>AM44*Assumptions!$G$13</f>
        <v>44000</v>
      </c>
    </row>
    <row r="46" spans="3:39" ht="23.1" customHeight="1">
      <c r="C46" s="4" t="s">
        <v>118</v>
      </c>
      <c r="D46" s="5">
        <f>D45*Assumptions!$G$28</f>
        <v>0</v>
      </c>
      <c r="E46" s="5">
        <f>E45*Assumptions!$G$28+D47</f>
        <v>0</v>
      </c>
      <c r="F46" s="5">
        <f>F45*Assumptions!$G$28+E47</f>
        <v>11000</v>
      </c>
      <c r="G46" s="5">
        <f>G45*Assumptions!$G$28+F47</f>
        <v>11000</v>
      </c>
      <c r="H46" s="5">
        <f>H45*Assumptions!$G$28+G47</f>
        <v>11000</v>
      </c>
      <c r="I46" s="5">
        <f>I45*Assumptions!$G$28+H47</f>
        <v>22000</v>
      </c>
      <c r="J46" s="5">
        <f>J45*Assumptions!$G$28+I47</f>
        <v>11000</v>
      </c>
      <c r="K46" s="5">
        <f>K45*Assumptions!$G$28+J47</f>
        <v>0</v>
      </c>
      <c r="L46" s="5">
        <f>L45*Assumptions!$G$28+K47</f>
        <v>11000</v>
      </c>
      <c r="M46" s="5">
        <f>M45*Assumptions!$G$28+L47</f>
        <v>22000</v>
      </c>
      <c r="N46" s="5">
        <f>N45*Assumptions!$G$28+M47</f>
        <v>22000</v>
      </c>
      <c r="O46" s="5">
        <f>O45*Assumptions!$G$28+N47</f>
        <v>11000</v>
      </c>
      <c r="P46" s="5">
        <f>P45*Assumptions!$G$28+O47</f>
        <v>0</v>
      </c>
      <c r="Q46" s="5">
        <f>Q45*Assumptions!$G$28+P47</f>
        <v>11000</v>
      </c>
      <c r="R46" s="5">
        <f>R45*Assumptions!$G$28+Q47</f>
        <v>22000</v>
      </c>
      <c r="S46" s="5">
        <f>S45*Assumptions!$G$28+R47</f>
        <v>33000</v>
      </c>
      <c r="T46" s="5">
        <f>T45*Assumptions!$G$28+S47</f>
        <v>33000</v>
      </c>
      <c r="U46" s="5">
        <f>U45*Assumptions!$G$28+T47</f>
        <v>33000</v>
      </c>
      <c r="V46" s="5">
        <f>V45*Assumptions!$G$28+U47</f>
        <v>22000</v>
      </c>
      <c r="W46" s="5">
        <f>W45*Assumptions!$G$28+V47</f>
        <v>0</v>
      </c>
      <c r="X46" s="5">
        <f>X45*Assumptions!$G$28+W47</f>
        <v>22000</v>
      </c>
      <c r="Y46" s="5">
        <f>Y45*Assumptions!$G$28+X47</f>
        <v>44000</v>
      </c>
      <c r="Z46" s="5">
        <f>Z45*Assumptions!$G$28+Y47</f>
        <v>44000</v>
      </c>
      <c r="AA46" s="5">
        <f>AA45*Assumptions!$G$28+Z47</f>
        <v>33000</v>
      </c>
      <c r="AB46" s="5">
        <f>AB45*Assumptions!$G$28+AA47</f>
        <v>22000</v>
      </c>
      <c r="AC46" s="5">
        <f>AC45*Assumptions!$G$28+AB47</f>
        <v>22000</v>
      </c>
      <c r="AD46" s="5">
        <f>AD45*Assumptions!$G$28+AC47</f>
        <v>33000</v>
      </c>
      <c r="AE46" s="5">
        <f>AE45*Assumptions!$G$28+AD47</f>
        <v>55000</v>
      </c>
      <c r="AF46" s="5">
        <f>AF45*Assumptions!$G$28+AE47</f>
        <v>66000</v>
      </c>
      <c r="AG46" s="5">
        <f>AG45*Assumptions!$G$28+AF47</f>
        <v>66000</v>
      </c>
      <c r="AH46" s="5">
        <f>AH45*Assumptions!$G$28+AG47</f>
        <v>33000</v>
      </c>
      <c r="AI46" s="5">
        <f>AI45*Assumptions!$G$28+AH47</f>
        <v>0</v>
      </c>
      <c r="AJ46" s="5">
        <f>AJ45*Assumptions!$G$28+AI47</f>
        <v>33000</v>
      </c>
      <c r="AK46" s="5">
        <f>AK45*Assumptions!$G$28+AJ47</f>
        <v>66000</v>
      </c>
      <c r="AL46" s="5">
        <f>AL45*Assumptions!$G$28+AK47</f>
        <v>66000</v>
      </c>
      <c r="AM46" s="5">
        <f>AM45*Assumptions!$G$28+AL47</f>
        <v>55000</v>
      </c>
    </row>
    <row r="47" spans="3:39" ht="23.1" customHeight="1">
      <c r="C47" s="4" t="s">
        <v>119</v>
      </c>
      <c r="D47" s="5">
        <f>D45*(1-Assumptions!$G$28)</f>
        <v>0</v>
      </c>
      <c r="E47" s="5">
        <f>E45*(1-Assumptions!$G$28)</f>
        <v>0</v>
      </c>
      <c r="F47" s="5">
        <f>F45*(1-Assumptions!$G$28)</f>
        <v>11000</v>
      </c>
      <c r="G47" s="5">
        <f>G45*(1-Assumptions!$G$28)</f>
        <v>0</v>
      </c>
      <c r="H47" s="5">
        <f>H45*(1-Assumptions!$G$28)</f>
        <v>11000</v>
      </c>
      <c r="I47" s="5">
        <f>I45*(1-Assumptions!$G$28)</f>
        <v>11000</v>
      </c>
      <c r="J47" s="5">
        <f>J45*(1-Assumptions!$G$28)</f>
        <v>0</v>
      </c>
      <c r="K47" s="5">
        <f>K45*(1-Assumptions!$G$28)</f>
        <v>0</v>
      </c>
      <c r="L47" s="5">
        <f>L45*(1-Assumptions!$G$28)</f>
        <v>11000</v>
      </c>
      <c r="M47" s="5">
        <f>M45*(1-Assumptions!$G$28)</f>
        <v>11000</v>
      </c>
      <c r="N47" s="5">
        <f>N45*(1-Assumptions!$G$28)</f>
        <v>11000</v>
      </c>
      <c r="O47" s="5">
        <f>O45*(1-Assumptions!$G$28)</f>
        <v>0</v>
      </c>
      <c r="P47" s="5">
        <f>P45*(1-Assumptions!$G$28)</f>
        <v>0</v>
      </c>
      <c r="Q47" s="5">
        <f>Q45*(1-Assumptions!$G$28)</f>
        <v>11000</v>
      </c>
      <c r="R47" s="5">
        <f>R45*(1-Assumptions!$G$28)</f>
        <v>11000</v>
      </c>
      <c r="S47" s="5">
        <f>S45*(1-Assumptions!$G$28)</f>
        <v>22000</v>
      </c>
      <c r="T47" s="5">
        <f>T45*(1-Assumptions!$G$28)</f>
        <v>11000</v>
      </c>
      <c r="U47" s="5">
        <f>U45*(1-Assumptions!$G$28)</f>
        <v>22000</v>
      </c>
      <c r="V47" s="5">
        <f>V45*(1-Assumptions!$G$28)</f>
        <v>0</v>
      </c>
      <c r="W47" s="5">
        <f>W45*(1-Assumptions!$G$28)</f>
        <v>0</v>
      </c>
      <c r="X47" s="5">
        <f>X45*(1-Assumptions!$G$28)</f>
        <v>22000</v>
      </c>
      <c r="Y47" s="5">
        <f>Y45*(1-Assumptions!$G$28)</f>
        <v>22000</v>
      </c>
      <c r="Z47" s="5">
        <f>Z45*(1-Assumptions!$G$28)</f>
        <v>22000</v>
      </c>
      <c r="AA47" s="5">
        <f>AA45*(1-Assumptions!$G$28)</f>
        <v>11000</v>
      </c>
      <c r="AB47" s="5">
        <f>AB45*(1-Assumptions!$G$28)</f>
        <v>11000</v>
      </c>
      <c r="AC47" s="5">
        <f>AC45*(1-Assumptions!$G$28)</f>
        <v>11000</v>
      </c>
      <c r="AD47" s="5">
        <f>AD45*(1-Assumptions!$G$28)</f>
        <v>22000</v>
      </c>
      <c r="AE47" s="5">
        <f>AE45*(1-Assumptions!$G$28)</f>
        <v>33000</v>
      </c>
      <c r="AF47" s="5">
        <f>AF45*(1-Assumptions!$G$28)</f>
        <v>33000</v>
      </c>
      <c r="AG47" s="5">
        <f>AG45*(1-Assumptions!$G$28)</f>
        <v>33000</v>
      </c>
      <c r="AH47" s="5">
        <f>AH45*(1-Assumptions!$G$28)</f>
        <v>0</v>
      </c>
      <c r="AI47" s="5">
        <f>AI45*(1-Assumptions!$G$28)</f>
        <v>0</v>
      </c>
      <c r="AJ47" s="5">
        <f>AJ45*(1-Assumptions!$G$28)</f>
        <v>33000</v>
      </c>
      <c r="AK47" s="5">
        <f>AK45*(1-Assumptions!$G$28)</f>
        <v>33000</v>
      </c>
      <c r="AL47" s="5">
        <f>AL45*(1-Assumptions!$G$28)</f>
        <v>33000</v>
      </c>
      <c r="AM47" s="5">
        <f>AM45*(1-Assumptions!$G$28)</f>
        <v>22000</v>
      </c>
    </row>
    <row r="48" spans="3:39" ht="23.1" customHeight="1">
      <c r="C48" s="4" t="s">
        <v>120</v>
      </c>
      <c r="D48" s="5">
        <f>D44*Assumptions!$G$14</f>
        <v>0</v>
      </c>
      <c r="E48" s="5">
        <f>E44*Assumptions!$G$14</f>
        <v>0</v>
      </c>
      <c r="F48" s="5">
        <f>F44*Assumptions!$G$14</f>
        <v>70</v>
      </c>
      <c r="G48" s="5">
        <f>G44*Assumptions!$G$14</f>
        <v>0</v>
      </c>
      <c r="H48" s="5">
        <f>H44*Assumptions!$G$14</f>
        <v>70</v>
      </c>
      <c r="I48" s="5">
        <f>I44*Assumptions!$G$14</f>
        <v>70</v>
      </c>
      <c r="J48" s="5">
        <f>J44*Assumptions!$G$14</f>
        <v>0</v>
      </c>
      <c r="K48" s="5">
        <f>K44*Assumptions!$G$14</f>
        <v>0</v>
      </c>
      <c r="L48" s="5">
        <f>L44*Assumptions!$G$14</f>
        <v>70</v>
      </c>
      <c r="M48" s="5">
        <f>M44*Assumptions!$G$14</f>
        <v>70</v>
      </c>
      <c r="N48" s="5">
        <f>N44*Assumptions!$G$14</f>
        <v>70</v>
      </c>
      <c r="O48" s="5">
        <f>O44*Assumptions!$G$14</f>
        <v>0</v>
      </c>
      <c r="P48" s="5">
        <f>P44*Assumptions!$G$14</f>
        <v>0</v>
      </c>
      <c r="Q48" s="5">
        <f>Q44*Assumptions!$G$14</f>
        <v>70</v>
      </c>
      <c r="R48" s="5">
        <f>R44*Assumptions!$G$14</f>
        <v>70</v>
      </c>
      <c r="S48" s="5">
        <f>S44*Assumptions!$G$14</f>
        <v>140</v>
      </c>
      <c r="T48" s="5">
        <f>T44*Assumptions!$G$14</f>
        <v>70</v>
      </c>
      <c r="U48" s="5">
        <f>U44*Assumptions!$G$14</f>
        <v>140</v>
      </c>
      <c r="V48" s="5">
        <f>V44*Assumptions!$G$14</f>
        <v>0</v>
      </c>
      <c r="W48" s="5">
        <f>W44*Assumptions!$G$14</f>
        <v>0</v>
      </c>
      <c r="X48" s="5">
        <f>X44*Assumptions!$G$14</f>
        <v>140</v>
      </c>
      <c r="Y48" s="5">
        <f>Y44*Assumptions!$G$14</f>
        <v>140</v>
      </c>
      <c r="Z48" s="5">
        <f>Z44*Assumptions!$G$14</f>
        <v>140</v>
      </c>
      <c r="AA48" s="5">
        <f>AA44*Assumptions!$G$14</f>
        <v>70</v>
      </c>
      <c r="AB48" s="5">
        <f>AB44*Assumptions!$G$14</f>
        <v>70</v>
      </c>
      <c r="AC48" s="5">
        <f>AC44*Assumptions!$G$14</f>
        <v>70</v>
      </c>
      <c r="AD48" s="5">
        <f>AD44*Assumptions!$G$14</f>
        <v>140</v>
      </c>
      <c r="AE48" s="5">
        <f>AE44*Assumptions!$G$14</f>
        <v>210</v>
      </c>
      <c r="AF48" s="5">
        <f>AF44*Assumptions!$G$14</f>
        <v>210</v>
      </c>
      <c r="AG48" s="5">
        <f>AG44*Assumptions!$G$14</f>
        <v>210</v>
      </c>
      <c r="AH48" s="5">
        <f>AH44*Assumptions!$G$14</f>
        <v>0</v>
      </c>
      <c r="AI48" s="5">
        <f>AI44*Assumptions!$G$14</f>
        <v>0</v>
      </c>
      <c r="AJ48" s="5">
        <f>AJ44*Assumptions!$G$14</f>
        <v>210</v>
      </c>
      <c r="AK48" s="5">
        <f>AK44*Assumptions!$G$14</f>
        <v>210</v>
      </c>
      <c r="AL48" s="5">
        <f>AL44*Assumptions!$G$14</f>
        <v>210</v>
      </c>
      <c r="AM48" s="5">
        <f>AM44*Assumptions!$G$14</f>
        <v>140</v>
      </c>
    </row>
    <row r="49" spans="3:39" ht="23.1" customHeight="1">
      <c r="C49" s="4" t="s">
        <v>121</v>
      </c>
      <c r="D49" s="5">
        <f>MIN(D48,MAX(0,Assumptions!$G$30-Assumptions!$G$31))</f>
        <v>0</v>
      </c>
      <c r="E49" s="5">
        <f>MIN(E48,MAX(0,Assumptions!$G$30-Assumptions!$G$31))</f>
        <v>0</v>
      </c>
      <c r="F49" s="5">
        <f>MIN(F48,MAX(0,Assumptions!$G$30-Assumptions!$G$31))</f>
        <v>70</v>
      </c>
      <c r="G49" s="5">
        <f>MIN(G48,MAX(0,Assumptions!$G$30-Assumptions!$G$31))</f>
        <v>0</v>
      </c>
      <c r="H49" s="5">
        <f>MIN(H48,MAX(0,Assumptions!$G$30-Assumptions!$G$31))</f>
        <v>70</v>
      </c>
      <c r="I49" s="5">
        <f>MIN(I48,MAX(0,Assumptions!$G$30-Assumptions!$G$31))</f>
        <v>70</v>
      </c>
      <c r="J49" s="5">
        <f>MIN(J48,MAX(0,Assumptions!$G$30-Assumptions!$G$31))</f>
        <v>0</v>
      </c>
      <c r="K49" s="5">
        <f>MIN(K48,MAX(0,Assumptions!$G$30-Assumptions!$G$31))</f>
        <v>0</v>
      </c>
      <c r="L49" s="5">
        <f>MIN(L48,MAX(0,Assumptions!$G$30-Assumptions!$G$31))</f>
        <v>70</v>
      </c>
      <c r="M49" s="5">
        <f>MIN(M48,MAX(0,Assumptions!$G$30-Assumptions!$G$31))</f>
        <v>70</v>
      </c>
      <c r="N49" s="5">
        <f>MIN(N48,MAX(0,Assumptions!$G$30-Assumptions!$G$31))</f>
        <v>70</v>
      </c>
      <c r="O49" s="5">
        <f>MIN(O48,MAX(0,Assumptions!$G$30-Assumptions!$G$31))</f>
        <v>0</v>
      </c>
      <c r="P49" s="5">
        <f>MIN(P48,MAX(0,Assumptions!$G$30-Assumptions!$G$31))</f>
        <v>0</v>
      </c>
      <c r="Q49" s="5">
        <f>MIN(Q48,MAX(0,Assumptions!$G$30-Assumptions!$G$31))</f>
        <v>70</v>
      </c>
      <c r="R49" s="5">
        <f>MIN(R48,MAX(0,Assumptions!$G$30-Assumptions!$G$31))</f>
        <v>70</v>
      </c>
      <c r="S49" s="5">
        <f>MIN(S48,MAX(0,Assumptions!$G$30-Assumptions!$G$31))</f>
        <v>80</v>
      </c>
      <c r="T49" s="5">
        <f>MIN(T48,MAX(0,Assumptions!$G$30-Assumptions!$G$31))</f>
        <v>70</v>
      </c>
      <c r="U49" s="5">
        <f>MIN(U48,MAX(0,Assumptions!$G$30-Assumptions!$G$31))</f>
        <v>80</v>
      </c>
      <c r="V49" s="5">
        <f>MIN(V48,MAX(0,Assumptions!$G$30-Assumptions!$G$31))</f>
        <v>0</v>
      </c>
      <c r="W49" s="5">
        <f>MIN(W48,MAX(0,Assumptions!$G$30-Assumptions!$G$31))</f>
        <v>0</v>
      </c>
      <c r="X49" s="5">
        <f>MIN(X48,MAX(0,Assumptions!$G$30-Assumptions!$G$31))</f>
        <v>80</v>
      </c>
      <c r="Y49" s="5">
        <f>MIN(Y48,MAX(0,Assumptions!$G$30-Assumptions!$G$31))</f>
        <v>80</v>
      </c>
      <c r="Z49" s="5">
        <f>MIN(Z48,MAX(0,Assumptions!$G$30-Assumptions!$G$31))</f>
        <v>80</v>
      </c>
      <c r="AA49" s="5">
        <f>MIN(AA48,MAX(0,Assumptions!$G$30-Assumptions!$G$31))</f>
        <v>70</v>
      </c>
      <c r="AB49" s="5">
        <f>MIN(AB48,MAX(0,Assumptions!$G$30-Assumptions!$G$31))</f>
        <v>70</v>
      </c>
      <c r="AC49" s="5">
        <f>MIN(AC48,MAX(0,Assumptions!$G$30-Assumptions!$G$31))</f>
        <v>70</v>
      </c>
      <c r="AD49" s="5">
        <f>MIN(AD48,MAX(0,Assumptions!$G$30-Assumptions!$G$31))</f>
        <v>80</v>
      </c>
      <c r="AE49" s="5">
        <f>MIN(AE48,MAX(0,Assumptions!$G$30-Assumptions!$G$31))</f>
        <v>80</v>
      </c>
      <c r="AF49" s="5">
        <f>MIN(AF48,MAX(0,Assumptions!$G$30-Assumptions!$G$31))</f>
        <v>80</v>
      </c>
      <c r="AG49" s="5">
        <f>MIN(AG48,MAX(0,Assumptions!$G$30-Assumptions!$G$31))</f>
        <v>80</v>
      </c>
      <c r="AH49" s="5">
        <f>MIN(AH48,MAX(0,Assumptions!$G$30-Assumptions!$G$31))</f>
        <v>0</v>
      </c>
      <c r="AI49" s="5">
        <f>MIN(AI48,MAX(0,Assumptions!$G$30-Assumptions!$G$31))</f>
        <v>0</v>
      </c>
      <c r="AJ49" s="5">
        <f>MIN(AJ48,MAX(0,Assumptions!$G$30-Assumptions!$G$31))</f>
        <v>80</v>
      </c>
      <c r="AK49" s="5">
        <f>MIN(AK48,MAX(0,Assumptions!$G$30-Assumptions!$G$31))</f>
        <v>80</v>
      </c>
      <c r="AL49" s="5">
        <f>MIN(AL48,MAX(0,Assumptions!$G$30-Assumptions!$G$31))</f>
        <v>80</v>
      </c>
      <c r="AM49" s="5">
        <f>MIN(AM48,MAX(0,Assumptions!$G$30-Assumptions!$G$31))</f>
        <v>80</v>
      </c>
    </row>
    <row r="50" spans="3:39" ht="23.1" customHeight="1">
      <c r="C50" s="4" t="s">
        <v>17</v>
      </c>
      <c r="D50" s="11">
        <f t="shared" ref="D50:AM50" si="4">MAX(0,D48-D49)</f>
        <v>0</v>
      </c>
      <c r="E50" s="11">
        <f t="shared" si="4"/>
        <v>0</v>
      </c>
      <c r="F50" s="11">
        <f t="shared" si="4"/>
        <v>0</v>
      </c>
      <c r="G50" s="11">
        <f t="shared" si="4"/>
        <v>0</v>
      </c>
      <c r="H50" s="11">
        <f t="shared" si="4"/>
        <v>0</v>
      </c>
      <c r="I50" s="11">
        <f t="shared" si="4"/>
        <v>0</v>
      </c>
      <c r="J50" s="11">
        <f t="shared" si="4"/>
        <v>0</v>
      </c>
      <c r="K50" s="11">
        <f t="shared" si="4"/>
        <v>0</v>
      </c>
      <c r="L50" s="11">
        <f t="shared" si="4"/>
        <v>0</v>
      </c>
      <c r="M50" s="11">
        <f t="shared" si="4"/>
        <v>0</v>
      </c>
      <c r="N50" s="11">
        <f t="shared" si="4"/>
        <v>0</v>
      </c>
      <c r="O50" s="11">
        <f t="shared" si="4"/>
        <v>0</v>
      </c>
      <c r="P50" s="11">
        <f t="shared" si="4"/>
        <v>0</v>
      </c>
      <c r="Q50" s="11">
        <f t="shared" si="4"/>
        <v>0</v>
      </c>
      <c r="R50" s="11">
        <f t="shared" si="4"/>
        <v>0</v>
      </c>
      <c r="S50" s="11">
        <f t="shared" si="4"/>
        <v>60</v>
      </c>
      <c r="T50" s="11">
        <f t="shared" si="4"/>
        <v>0</v>
      </c>
      <c r="U50" s="11">
        <f t="shared" si="4"/>
        <v>60</v>
      </c>
      <c r="V50" s="11">
        <f t="shared" si="4"/>
        <v>0</v>
      </c>
      <c r="W50" s="11">
        <f t="shared" si="4"/>
        <v>0</v>
      </c>
      <c r="X50" s="11">
        <f t="shared" si="4"/>
        <v>60</v>
      </c>
      <c r="Y50" s="11">
        <f t="shared" si="4"/>
        <v>60</v>
      </c>
      <c r="Z50" s="11">
        <f t="shared" si="4"/>
        <v>60</v>
      </c>
      <c r="AA50" s="11">
        <f t="shared" si="4"/>
        <v>0</v>
      </c>
      <c r="AB50" s="11">
        <f t="shared" si="4"/>
        <v>0</v>
      </c>
      <c r="AC50" s="11">
        <f t="shared" si="4"/>
        <v>0</v>
      </c>
      <c r="AD50" s="11">
        <f t="shared" si="4"/>
        <v>60</v>
      </c>
      <c r="AE50" s="11">
        <f t="shared" si="4"/>
        <v>130</v>
      </c>
      <c r="AF50" s="11">
        <f t="shared" si="4"/>
        <v>130</v>
      </c>
      <c r="AG50" s="11">
        <f t="shared" si="4"/>
        <v>130</v>
      </c>
      <c r="AH50" s="11">
        <f t="shared" si="4"/>
        <v>0</v>
      </c>
      <c r="AI50" s="11">
        <f t="shared" si="4"/>
        <v>0</v>
      </c>
      <c r="AJ50" s="11">
        <f t="shared" si="4"/>
        <v>130</v>
      </c>
      <c r="AK50" s="11">
        <f t="shared" si="4"/>
        <v>130</v>
      </c>
      <c r="AL50" s="11">
        <f t="shared" si="4"/>
        <v>130</v>
      </c>
      <c r="AM50" s="11">
        <f t="shared" si="4"/>
        <v>60</v>
      </c>
    </row>
    <row r="51" spans="3:39" ht="23.1" customHeight="1">
      <c r="C51" s="4" t="s">
        <v>122</v>
      </c>
      <c r="D51" s="5">
        <f>MAX(0,Assumptions!$G$30-Assumptions!$G$31)+Assumptions!$G$32-D48</f>
        <v>240</v>
      </c>
      <c r="E51" s="5">
        <f>MAX(0,Assumptions!$G$30-Assumptions!$G$31)+Assumptions!$G$32-E48</f>
        <v>240</v>
      </c>
      <c r="F51" s="5">
        <f>MAX(0,Assumptions!$G$30-Assumptions!$G$31)+Assumptions!$G$32-F48</f>
        <v>170</v>
      </c>
      <c r="G51" s="5">
        <f>MAX(0,Assumptions!$G$30-Assumptions!$G$31)+Assumptions!$G$32-G48</f>
        <v>240</v>
      </c>
      <c r="H51" s="5">
        <f>MAX(0,Assumptions!$G$30-Assumptions!$G$31)+Assumptions!$G$32-H48</f>
        <v>170</v>
      </c>
      <c r="I51" s="5">
        <f>MAX(0,Assumptions!$G$30-Assumptions!$G$31)+Assumptions!$G$32-I48</f>
        <v>170</v>
      </c>
      <c r="J51" s="5">
        <f>MAX(0,Assumptions!$G$30-Assumptions!$G$31)+Assumptions!$G$32-J48</f>
        <v>240</v>
      </c>
      <c r="K51" s="5">
        <f>MAX(0,Assumptions!$G$30-Assumptions!$G$31)+Assumptions!$G$32-K48</f>
        <v>240</v>
      </c>
      <c r="L51" s="5">
        <f>MAX(0,Assumptions!$G$30-Assumptions!$G$31)+Assumptions!$G$32-L48</f>
        <v>170</v>
      </c>
      <c r="M51" s="5">
        <f>MAX(0,Assumptions!$G$30-Assumptions!$G$31)+Assumptions!$G$32-M48</f>
        <v>170</v>
      </c>
      <c r="N51" s="5">
        <f>MAX(0,Assumptions!$G$30-Assumptions!$G$31)+Assumptions!$G$32-N48</f>
        <v>170</v>
      </c>
      <c r="O51" s="5">
        <f>MAX(0,Assumptions!$G$30-Assumptions!$G$31)+Assumptions!$G$32-O48</f>
        <v>240</v>
      </c>
      <c r="P51" s="5">
        <f>MAX(0,Assumptions!$G$30-Assumptions!$G$31)+Assumptions!$G$32-P48</f>
        <v>240</v>
      </c>
      <c r="Q51" s="5">
        <f>MAX(0,Assumptions!$G$30-Assumptions!$G$31)+Assumptions!$G$32-Q48</f>
        <v>170</v>
      </c>
      <c r="R51" s="5">
        <f>MAX(0,Assumptions!$G$30-Assumptions!$G$31)+Assumptions!$G$32-R48</f>
        <v>170</v>
      </c>
      <c r="S51" s="5">
        <f>MAX(0,Assumptions!$G$30-Assumptions!$G$31)+Assumptions!$G$32-S48</f>
        <v>100</v>
      </c>
      <c r="T51" s="5">
        <f>MAX(0,Assumptions!$G$30-Assumptions!$G$31)+Assumptions!$G$32-T48</f>
        <v>170</v>
      </c>
      <c r="U51" s="5">
        <f>MAX(0,Assumptions!$G$30-Assumptions!$G$31)+Assumptions!$G$32-U48</f>
        <v>100</v>
      </c>
      <c r="V51" s="5">
        <f>MAX(0,Assumptions!$G$30-Assumptions!$G$31)+Assumptions!$G$32-V48</f>
        <v>240</v>
      </c>
      <c r="W51" s="5">
        <f>MAX(0,Assumptions!$G$30-Assumptions!$G$31)+Assumptions!$G$32-W48</f>
        <v>240</v>
      </c>
      <c r="X51" s="5">
        <f>MAX(0,Assumptions!$G$30-Assumptions!$G$31)+Assumptions!$G$32-X48</f>
        <v>100</v>
      </c>
      <c r="Y51" s="5">
        <f>MAX(0,Assumptions!$G$30-Assumptions!$G$31)+Assumptions!$G$32-Y48</f>
        <v>100</v>
      </c>
      <c r="Z51" s="5">
        <f>MAX(0,Assumptions!$G$30-Assumptions!$G$31)+Assumptions!$G$32-Z48</f>
        <v>100</v>
      </c>
      <c r="AA51" s="5">
        <f>MAX(0,Assumptions!$G$30-Assumptions!$G$31)+Assumptions!$G$32-AA48</f>
        <v>170</v>
      </c>
      <c r="AB51" s="5">
        <f>MAX(0,Assumptions!$G$30-Assumptions!$G$31)+Assumptions!$G$32-AB48</f>
        <v>170</v>
      </c>
      <c r="AC51" s="5">
        <f>MAX(0,Assumptions!$G$30-Assumptions!$G$31)+Assumptions!$G$32-AC48</f>
        <v>170</v>
      </c>
      <c r="AD51" s="5">
        <f>MAX(0,Assumptions!$G$30-Assumptions!$G$31)+Assumptions!$G$32-AD48</f>
        <v>100</v>
      </c>
      <c r="AE51" s="5">
        <f>MAX(0,Assumptions!$G$30-Assumptions!$G$31)+Assumptions!$G$32-AE48</f>
        <v>30</v>
      </c>
      <c r="AF51" s="5">
        <f>MAX(0,Assumptions!$G$30-Assumptions!$G$31)+Assumptions!$G$32-AF48</f>
        <v>30</v>
      </c>
      <c r="AG51" s="5">
        <f>MAX(0,Assumptions!$G$30-Assumptions!$G$31)+Assumptions!$G$32-AG48</f>
        <v>30</v>
      </c>
      <c r="AH51" s="5">
        <f>MAX(0,Assumptions!$G$30-Assumptions!$G$31)+Assumptions!$G$32-AH48</f>
        <v>240</v>
      </c>
      <c r="AI51" s="5">
        <f>MAX(0,Assumptions!$G$30-Assumptions!$G$31)+Assumptions!$G$32-AI48</f>
        <v>240</v>
      </c>
      <c r="AJ51" s="5">
        <f>MAX(0,Assumptions!$G$30-Assumptions!$G$31)+Assumptions!$G$32-AJ48</f>
        <v>30</v>
      </c>
      <c r="AK51" s="5">
        <f>MAX(0,Assumptions!$G$30-Assumptions!$G$31)+Assumptions!$G$32-AK48</f>
        <v>30</v>
      </c>
      <c r="AL51" s="5">
        <f>MAX(0,Assumptions!$G$30-Assumptions!$G$31)+Assumptions!$G$32-AL48</f>
        <v>30</v>
      </c>
      <c r="AM51" s="5">
        <f>MAX(0,Assumptions!$G$30-Assumptions!$G$31)+Assumptions!$G$32-AM48</f>
        <v>100</v>
      </c>
    </row>
    <row r="52" spans="3:39">
      <c r="C52" t="s">
        <v>123</v>
      </c>
      <c r="D52">
        <f t="shared" ref="D52:AM52" si="5">ABS(D44-ROUND(D44,0))</f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  <c r="M52">
        <f t="shared" si="5"/>
        <v>0</v>
      </c>
      <c r="N52">
        <f t="shared" si="5"/>
        <v>0</v>
      </c>
      <c r="O52">
        <f t="shared" si="5"/>
        <v>0</v>
      </c>
      <c r="P52">
        <f t="shared" si="5"/>
        <v>0</v>
      </c>
      <c r="Q52">
        <f t="shared" si="5"/>
        <v>0</v>
      </c>
      <c r="R52">
        <f t="shared" si="5"/>
        <v>0</v>
      </c>
      <c r="S52">
        <f t="shared" si="5"/>
        <v>0</v>
      </c>
      <c r="T52">
        <f t="shared" si="5"/>
        <v>0</v>
      </c>
      <c r="U52">
        <f t="shared" si="5"/>
        <v>0</v>
      </c>
      <c r="V52">
        <f t="shared" si="5"/>
        <v>0</v>
      </c>
      <c r="W52">
        <f t="shared" si="5"/>
        <v>0</v>
      </c>
      <c r="X52">
        <f t="shared" si="5"/>
        <v>0</v>
      </c>
      <c r="Y52">
        <f t="shared" si="5"/>
        <v>0</v>
      </c>
      <c r="Z52">
        <f t="shared" si="5"/>
        <v>0</v>
      </c>
      <c r="AA52">
        <f t="shared" si="5"/>
        <v>0</v>
      </c>
      <c r="AB52">
        <f t="shared" si="5"/>
        <v>0</v>
      </c>
      <c r="AC52">
        <f t="shared" si="5"/>
        <v>0</v>
      </c>
      <c r="AD52">
        <f t="shared" si="5"/>
        <v>0</v>
      </c>
      <c r="AE52">
        <f t="shared" si="5"/>
        <v>0</v>
      </c>
      <c r="AF52">
        <f t="shared" si="5"/>
        <v>0</v>
      </c>
      <c r="AG52">
        <f t="shared" si="5"/>
        <v>0</v>
      </c>
      <c r="AH52">
        <f t="shared" si="5"/>
        <v>0</v>
      </c>
      <c r="AI52">
        <f t="shared" si="5"/>
        <v>0</v>
      </c>
      <c r="AJ52">
        <f t="shared" si="5"/>
        <v>0</v>
      </c>
      <c r="AK52">
        <f t="shared" si="5"/>
        <v>0</v>
      </c>
      <c r="AL52">
        <f t="shared" si="5"/>
        <v>0</v>
      </c>
      <c r="AM52">
        <f t="shared" si="5"/>
        <v>0</v>
      </c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M7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39" ht="23.1" customHeight="1"/>
    <row r="2" spans="3:39" ht="23.1" customHeight="1">
      <c r="C2" s="1" t="s">
        <v>216</v>
      </c>
    </row>
    <row r="3" spans="3:39" ht="23.1" customHeight="1">
      <c r="C3" s="2" t="s">
        <v>208</v>
      </c>
    </row>
    <row r="4" spans="3:39" ht="23.1" customHeight="1"/>
    <row r="5" spans="3:39" ht="23.1" customHeight="1"/>
    <row r="6" spans="3:39" ht="30" customHeight="1">
      <c r="C6" s="3" t="s">
        <v>27</v>
      </c>
      <c r="D6" s="10">
        <v>46388</v>
      </c>
      <c r="E6" s="10">
        <v>46419</v>
      </c>
      <c r="F6" s="10">
        <v>46447</v>
      </c>
      <c r="G6" s="10">
        <v>46478</v>
      </c>
      <c r="H6" s="10">
        <v>46508</v>
      </c>
      <c r="I6" s="10">
        <v>46539</v>
      </c>
      <c r="J6" s="10">
        <v>46569</v>
      </c>
      <c r="K6" s="10">
        <v>46600</v>
      </c>
      <c r="L6" s="10">
        <v>46631</v>
      </c>
      <c r="M6" s="10">
        <v>46661</v>
      </c>
      <c r="N6" s="10">
        <v>46692</v>
      </c>
      <c r="O6" s="10">
        <v>46722</v>
      </c>
      <c r="P6" s="10">
        <v>46753</v>
      </c>
      <c r="Q6" s="10">
        <v>46784</v>
      </c>
      <c r="R6" s="10">
        <v>46813</v>
      </c>
      <c r="S6" s="10">
        <v>46844</v>
      </c>
      <c r="T6" s="10">
        <v>46874</v>
      </c>
      <c r="U6" s="10">
        <v>46905</v>
      </c>
      <c r="V6" s="10">
        <v>46935</v>
      </c>
      <c r="W6" s="10">
        <v>46966</v>
      </c>
      <c r="X6" s="10">
        <v>46997</v>
      </c>
      <c r="Y6" s="10">
        <v>47027</v>
      </c>
      <c r="Z6" s="10">
        <v>47058</v>
      </c>
      <c r="AA6" s="10">
        <v>47088</v>
      </c>
      <c r="AB6" s="10">
        <v>47119</v>
      </c>
      <c r="AC6" s="10">
        <v>47150</v>
      </c>
      <c r="AD6" s="10">
        <v>47178</v>
      </c>
      <c r="AE6" s="10">
        <v>47209</v>
      </c>
      <c r="AF6" s="10">
        <v>47239</v>
      </c>
      <c r="AG6" s="10">
        <v>47270</v>
      </c>
      <c r="AH6" s="10">
        <v>47300</v>
      </c>
      <c r="AI6" s="10">
        <v>47331</v>
      </c>
      <c r="AJ6" s="10">
        <v>47362</v>
      </c>
      <c r="AK6" s="10">
        <v>47392</v>
      </c>
      <c r="AL6" s="10">
        <v>47423</v>
      </c>
      <c r="AM6" s="10">
        <v>47453</v>
      </c>
    </row>
    <row r="7" spans="3:39" ht="23.1" customHeight="1">
      <c r="C7" s="4" t="s">
        <v>124</v>
      </c>
      <c r="D7" s="5">
        <f>Revenue!D8*(Assumptions!$E$17*Assumptions!$E$19+Assumptions!$E$18*Assumptions!$E$20)</f>
        <v>0</v>
      </c>
      <c r="E7" s="5">
        <f>Revenue!E8*(Assumptions!$E$17*Assumptions!$E$19+Assumptions!$E$18*Assumptions!$E$20)</f>
        <v>0</v>
      </c>
      <c r="F7" s="5">
        <f>Revenue!F8*(Assumptions!$E$17*Assumptions!$E$19+Assumptions!$E$18*Assumptions!$E$20)</f>
        <v>0</v>
      </c>
      <c r="G7" s="5">
        <f>Revenue!G8*(Assumptions!$E$17*Assumptions!$E$19+Assumptions!$E$18*Assumptions!$E$20)</f>
        <v>1400</v>
      </c>
      <c r="H7" s="5">
        <f>Revenue!H8*(Assumptions!$E$17*Assumptions!$E$19+Assumptions!$E$18*Assumptions!$E$20)</f>
        <v>0</v>
      </c>
      <c r="I7" s="5">
        <f>Revenue!I8*(Assumptions!$E$17*Assumptions!$E$19+Assumptions!$E$18*Assumptions!$E$20)</f>
        <v>1400</v>
      </c>
      <c r="J7" s="5">
        <f>Revenue!J8*(Assumptions!$E$17*Assumptions!$E$19+Assumptions!$E$18*Assumptions!$E$20)</f>
        <v>0</v>
      </c>
      <c r="K7" s="5">
        <f>Revenue!K8*(Assumptions!$E$17*Assumptions!$E$19+Assumptions!$E$18*Assumptions!$E$20)</f>
        <v>0</v>
      </c>
      <c r="L7" s="5">
        <f>Revenue!L8*(Assumptions!$E$17*Assumptions!$E$19+Assumptions!$E$18*Assumptions!$E$20)</f>
        <v>1400</v>
      </c>
      <c r="M7" s="5">
        <f>Revenue!M8*(Assumptions!$E$17*Assumptions!$E$19+Assumptions!$E$18*Assumptions!$E$20)</f>
        <v>1400</v>
      </c>
      <c r="N7" s="5">
        <f>Revenue!N8*(Assumptions!$E$17*Assumptions!$E$19+Assumptions!$E$18*Assumptions!$E$20)</f>
        <v>0</v>
      </c>
      <c r="O7" s="5">
        <f>Revenue!O8*(Assumptions!$E$17*Assumptions!$E$19+Assumptions!$E$18*Assumptions!$E$20)</f>
        <v>0</v>
      </c>
      <c r="P7" s="5">
        <f>Revenue!P8*(Assumptions!$E$17*Assumptions!$E$19+Assumptions!$E$18*Assumptions!$E$20)</f>
        <v>0</v>
      </c>
      <c r="Q7" s="5">
        <f>Revenue!Q8*(Assumptions!$E$17*Assumptions!$E$19+Assumptions!$E$18*Assumptions!$E$20)</f>
        <v>0</v>
      </c>
      <c r="R7" s="5">
        <f>Revenue!R8*(Assumptions!$E$17*Assumptions!$E$19+Assumptions!$E$18*Assumptions!$E$20)</f>
        <v>1400</v>
      </c>
      <c r="S7" s="5">
        <f>Revenue!S8*(Assumptions!$E$17*Assumptions!$E$19+Assumptions!$E$18*Assumptions!$E$20)</f>
        <v>1400</v>
      </c>
      <c r="T7" s="5">
        <f>Revenue!T8*(Assumptions!$E$17*Assumptions!$E$19+Assumptions!$E$18*Assumptions!$E$20)</f>
        <v>1400</v>
      </c>
      <c r="U7" s="5">
        <f>Revenue!U8*(Assumptions!$E$17*Assumptions!$E$19+Assumptions!$E$18*Assumptions!$E$20)</f>
        <v>1400</v>
      </c>
      <c r="V7" s="5">
        <f>Revenue!V8*(Assumptions!$E$17*Assumptions!$E$19+Assumptions!$E$18*Assumptions!$E$20)</f>
        <v>0</v>
      </c>
      <c r="W7" s="5">
        <f>Revenue!W8*(Assumptions!$E$17*Assumptions!$E$19+Assumptions!$E$18*Assumptions!$E$20)</f>
        <v>0</v>
      </c>
      <c r="X7" s="5">
        <f>Revenue!X8*(Assumptions!$E$17*Assumptions!$E$19+Assumptions!$E$18*Assumptions!$E$20)</f>
        <v>2800</v>
      </c>
      <c r="Y7" s="5">
        <f>Revenue!Y8*(Assumptions!$E$17*Assumptions!$E$19+Assumptions!$E$18*Assumptions!$E$20)</f>
        <v>2800</v>
      </c>
      <c r="Z7" s="5">
        <f>Revenue!Z8*(Assumptions!$E$17*Assumptions!$E$19+Assumptions!$E$18*Assumptions!$E$20)</f>
        <v>1400</v>
      </c>
      <c r="AA7" s="5">
        <f>Revenue!AA8*(Assumptions!$E$17*Assumptions!$E$19+Assumptions!$E$18*Assumptions!$E$20)</f>
        <v>1400</v>
      </c>
      <c r="AB7" s="5">
        <f>Revenue!AB8*(Assumptions!$E$17*Assumptions!$E$19+Assumptions!$E$18*Assumptions!$E$20)</f>
        <v>0</v>
      </c>
      <c r="AC7" s="5">
        <f>Revenue!AC8*(Assumptions!$E$17*Assumptions!$E$19+Assumptions!$E$18*Assumptions!$E$20)</f>
        <v>1400</v>
      </c>
      <c r="AD7" s="5">
        <f>Revenue!AD8*(Assumptions!$E$17*Assumptions!$E$19+Assumptions!$E$18*Assumptions!$E$20)</f>
        <v>2800</v>
      </c>
      <c r="AE7" s="5">
        <f>Revenue!AE8*(Assumptions!$E$17*Assumptions!$E$19+Assumptions!$E$18*Assumptions!$E$20)</f>
        <v>2800</v>
      </c>
      <c r="AF7" s="5">
        <f>Revenue!AF8*(Assumptions!$E$17*Assumptions!$E$19+Assumptions!$E$18*Assumptions!$E$20)</f>
        <v>2800</v>
      </c>
      <c r="AG7" s="5">
        <f>Revenue!AG8*(Assumptions!$E$17*Assumptions!$E$19+Assumptions!$E$18*Assumptions!$E$20)</f>
        <v>2800</v>
      </c>
      <c r="AH7" s="5">
        <f>Revenue!AH8*(Assumptions!$E$17*Assumptions!$E$19+Assumptions!$E$18*Assumptions!$E$20)</f>
        <v>0</v>
      </c>
      <c r="AI7" s="5">
        <f>Revenue!AI8*(Assumptions!$E$17*Assumptions!$E$19+Assumptions!$E$18*Assumptions!$E$20)</f>
        <v>0</v>
      </c>
      <c r="AJ7" s="5">
        <f>Revenue!AJ8*(Assumptions!$E$17*Assumptions!$E$19+Assumptions!$E$18*Assumptions!$E$20)</f>
        <v>4200</v>
      </c>
      <c r="AK7" s="5">
        <f>Revenue!AK8*(Assumptions!$E$17*Assumptions!$E$19+Assumptions!$E$18*Assumptions!$E$20)</f>
        <v>4200</v>
      </c>
      <c r="AL7" s="5">
        <f>Revenue!AL8*(Assumptions!$E$17*Assumptions!$E$19+Assumptions!$E$18*Assumptions!$E$20)</f>
        <v>2800</v>
      </c>
      <c r="AM7" s="5">
        <f>Revenue!AM8*(Assumptions!$E$17*Assumptions!$E$19+Assumptions!$E$18*Assumptions!$E$20)</f>
        <v>1400</v>
      </c>
    </row>
    <row r="8" spans="3:39" ht="23.1" customHeight="1">
      <c r="C8" s="4" t="s">
        <v>125</v>
      </c>
      <c r="D8" s="5">
        <f>Revenue!D13*Assumptions!$E$15</f>
        <v>0</v>
      </c>
      <c r="E8" s="5">
        <f>Revenue!E13*Assumptions!$E$15</f>
        <v>0</v>
      </c>
      <c r="F8" s="5">
        <f>Revenue!F13*Assumptions!$E$15</f>
        <v>0</v>
      </c>
      <c r="G8" s="5">
        <f>Revenue!G13*Assumptions!$E$15</f>
        <v>6400</v>
      </c>
      <c r="H8" s="5">
        <f>Revenue!H13*Assumptions!$E$15</f>
        <v>0</v>
      </c>
      <c r="I8" s="5">
        <f>Revenue!I13*Assumptions!$E$15</f>
        <v>6400</v>
      </c>
      <c r="J8" s="5">
        <f>Revenue!J13*Assumptions!$E$15</f>
        <v>0</v>
      </c>
      <c r="K8" s="5">
        <f>Revenue!K13*Assumptions!$E$15</f>
        <v>0</v>
      </c>
      <c r="L8" s="5">
        <f>Revenue!L13*Assumptions!$E$15</f>
        <v>6400</v>
      </c>
      <c r="M8" s="5">
        <f>Revenue!M13*Assumptions!$E$15</f>
        <v>6400</v>
      </c>
      <c r="N8" s="5">
        <f>Revenue!N13*Assumptions!$E$15</f>
        <v>0</v>
      </c>
      <c r="O8" s="5">
        <f>Revenue!O13*Assumptions!$E$15</f>
        <v>0</v>
      </c>
      <c r="P8" s="5">
        <f>Revenue!P13*Assumptions!$E$15</f>
        <v>0</v>
      </c>
      <c r="Q8" s="5">
        <f>Revenue!Q13*Assumptions!$E$15</f>
        <v>0</v>
      </c>
      <c r="R8" s="5">
        <f>Revenue!R13*Assumptions!$E$15</f>
        <v>6400</v>
      </c>
      <c r="S8" s="5">
        <f>Revenue!S13*Assumptions!$E$15</f>
        <v>6400</v>
      </c>
      <c r="T8" s="5">
        <f>Revenue!T13*Assumptions!$E$15</f>
        <v>6400</v>
      </c>
      <c r="U8" s="5">
        <f>Revenue!U13*Assumptions!$E$15</f>
        <v>6400</v>
      </c>
      <c r="V8" s="5">
        <f>Revenue!V13*Assumptions!$E$15</f>
        <v>0</v>
      </c>
      <c r="W8" s="5">
        <f>Revenue!W13*Assumptions!$E$15</f>
        <v>0</v>
      </c>
      <c r="X8" s="5">
        <f>Revenue!X13*Assumptions!$E$15</f>
        <v>6400</v>
      </c>
      <c r="Y8" s="5">
        <f>Revenue!Y13*Assumptions!$E$15</f>
        <v>6400</v>
      </c>
      <c r="Z8" s="5">
        <f>Revenue!Z13*Assumptions!$E$15</f>
        <v>6400</v>
      </c>
      <c r="AA8" s="5">
        <f>Revenue!AA13*Assumptions!$E$15</f>
        <v>6400</v>
      </c>
      <c r="AB8" s="5">
        <f>Revenue!AB13*Assumptions!$E$15</f>
        <v>0</v>
      </c>
      <c r="AC8" s="5">
        <f>Revenue!AC13*Assumptions!$E$15</f>
        <v>6400</v>
      </c>
      <c r="AD8" s="5">
        <f>Revenue!AD13*Assumptions!$E$15</f>
        <v>6400</v>
      </c>
      <c r="AE8" s="5">
        <f>Revenue!AE13*Assumptions!$E$15</f>
        <v>6400</v>
      </c>
      <c r="AF8" s="5">
        <f>Revenue!AF13*Assumptions!$E$15</f>
        <v>6400</v>
      </c>
      <c r="AG8" s="5">
        <f>Revenue!AG13*Assumptions!$E$15</f>
        <v>6400</v>
      </c>
      <c r="AH8" s="5">
        <f>Revenue!AH13*Assumptions!$E$15</f>
        <v>0</v>
      </c>
      <c r="AI8" s="5">
        <f>Revenue!AI13*Assumptions!$E$15</f>
        <v>0</v>
      </c>
      <c r="AJ8" s="5">
        <f>Revenue!AJ13*Assumptions!$E$15</f>
        <v>6400</v>
      </c>
      <c r="AK8" s="5">
        <f>Revenue!AK13*Assumptions!$E$15</f>
        <v>6400</v>
      </c>
      <c r="AL8" s="5">
        <f>Revenue!AL13*Assumptions!$E$15</f>
        <v>6400</v>
      </c>
      <c r="AM8" s="5">
        <f>Revenue!AM13*Assumptions!$E$15</f>
        <v>6400</v>
      </c>
    </row>
    <row r="9" spans="3:39" ht="23.1" customHeight="1">
      <c r="C9" s="4" t="s">
        <v>126</v>
      </c>
      <c r="D9" s="5">
        <f>Revenue!D14*Assumptions!$E$16</f>
        <v>0</v>
      </c>
      <c r="E9" s="5">
        <f>Revenue!E14*Assumptions!$E$16</f>
        <v>0</v>
      </c>
      <c r="F9" s="5">
        <f>Revenue!F14*Assumptions!$E$16</f>
        <v>0</v>
      </c>
      <c r="G9" s="5">
        <f>Revenue!G14*Assumptions!$E$16</f>
        <v>0</v>
      </c>
      <c r="H9" s="5">
        <f>Revenue!H14*Assumptions!$E$16</f>
        <v>0</v>
      </c>
      <c r="I9" s="5">
        <f>Revenue!I14*Assumptions!$E$16</f>
        <v>0</v>
      </c>
      <c r="J9" s="5">
        <f>Revenue!J14*Assumptions!$E$16</f>
        <v>0</v>
      </c>
      <c r="K9" s="5">
        <f>Revenue!K14*Assumptions!$E$16</f>
        <v>0</v>
      </c>
      <c r="L9" s="5">
        <f>Revenue!L14*Assumptions!$E$16</f>
        <v>0</v>
      </c>
      <c r="M9" s="5">
        <f>Revenue!M14*Assumptions!$E$16</f>
        <v>0</v>
      </c>
      <c r="N9" s="5">
        <f>Revenue!N14*Assumptions!$E$16</f>
        <v>0</v>
      </c>
      <c r="O9" s="5">
        <f>Revenue!O14*Assumptions!$E$16</f>
        <v>0</v>
      </c>
      <c r="P9" s="5">
        <f>Revenue!P14*Assumptions!$E$16</f>
        <v>0</v>
      </c>
      <c r="Q9" s="5">
        <f>Revenue!Q14*Assumptions!$E$16</f>
        <v>0</v>
      </c>
      <c r="R9" s="5">
        <f>Revenue!R14*Assumptions!$E$16</f>
        <v>0</v>
      </c>
      <c r="S9" s="5">
        <f>Revenue!S14*Assumptions!$E$16</f>
        <v>0</v>
      </c>
      <c r="T9" s="5">
        <f>Revenue!T14*Assumptions!$E$16</f>
        <v>0</v>
      </c>
      <c r="U9" s="5">
        <f>Revenue!U14*Assumptions!$E$16</f>
        <v>0</v>
      </c>
      <c r="V9" s="5">
        <f>Revenue!V14*Assumptions!$E$16</f>
        <v>0</v>
      </c>
      <c r="W9" s="5">
        <f>Revenue!W14*Assumptions!$E$16</f>
        <v>0</v>
      </c>
      <c r="X9" s="5">
        <f>Revenue!X14*Assumptions!$E$16</f>
        <v>8000</v>
      </c>
      <c r="Y9" s="5">
        <f>Revenue!Y14*Assumptions!$E$16</f>
        <v>8000</v>
      </c>
      <c r="Z9" s="5">
        <f>Revenue!Z14*Assumptions!$E$16</f>
        <v>0</v>
      </c>
      <c r="AA9" s="5">
        <f>Revenue!AA14*Assumptions!$E$16</f>
        <v>0</v>
      </c>
      <c r="AB9" s="5">
        <f>Revenue!AB14*Assumptions!$E$16</f>
        <v>0</v>
      </c>
      <c r="AC9" s="5">
        <f>Revenue!AC14*Assumptions!$E$16</f>
        <v>0</v>
      </c>
      <c r="AD9" s="5">
        <f>Revenue!AD14*Assumptions!$E$16</f>
        <v>8000</v>
      </c>
      <c r="AE9" s="5">
        <f>Revenue!AE14*Assumptions!$E$16</f>
        <v>8000</v>
      </c>
      <c r="AF9" s="5">
        <f>Revenue!AF14*Assumptions!$E$16</f>
        <v>8000</v>
      </c>
      <c r="AG9" s="5">
        <f>Revenue!AG14*Assumptions!$E$16</f>
        <v>8000</v>
      </c>
      <c r="AH9" s="5">
        <f>Revenue!AH14*Assumptions!$E$16</f>
        <v>0</v>
      </c>
      <c r="AI9" s="5">
        <f>Revenue!AI14*Assumptions!$E$16</f>
        <v>0</v>
      </c>
      <c r="AJ9" s="5">
        <f>Revenue!AJ14*Assumptions!$E$16</f>
        <v>16000</v>
      </c>
      <c r="AK9" s="5">
        <f>Revenue!AK14*Assumptions!$E$16</f>
        <v>16000</v>
      </c>
      <c r="AL9" s="5">
        <f>Revenue!AL14*Assumptions!$E$16</f>
        <v>8000</v>
      </c>
      <c r="AM9" s="5">
        <f>Revenue!AM14*Assumptions!$E$16</f>
        <v>0</v>
      </c>
    </row>
    <row r="10" spans="3:39" ht="23.1" customHeight="1">
      <c r="C10" s="4" t="s">
        <v>127</v>
      </c>
      <c r="D10" s="5">
        <f>Revenue!D8*Assumptions!$E$21</f>
        <v>0</v>
      </c>
      <c r="E10" s="5">
        <f>Revenue!E8*Assumptions!$E$21</f>
        <v>0</v>
      </c>
      <c r="F10" s="5">
        <f>Revenue!F8*Assumptions!$E$21</f>
        <v>0</v>
      </c>
      <c r="G10" s="5">
        <f>Revenue!G8*Assumptions!$E$21</f>
        <v>600</v>
      </c>
      <c r="H10" s="5">
        <f>Revenue!H8*Assumptions!$E$21</f>
        <v>0</v>
      </c>
      <c r="I10" s="5">
        <f>Revenue!I8*Assumptions!$E$21</f>
        <v>600</v>
      </c>
      <c r="J10" s="5">
        <f>Revenue!J8*Assumptions!$E$21</f>
        <v>0</v>
      </c>
      <c r="K10" s="5">
        <f>Revenue!K8*Assumptions!$E$21</f>
        <v>0</v>
      </c>
      <c r="L10" s="5">
        <f>Revenue!L8*Assumptions!$E$21</f>
        <v>600</v>
      </c>
      <c r="M10" s="5">
        <f>Revenue!M8*Assumptions!$E$21</f>
        <v>600</v>
      </c>
      <c r="N10" s="5">
        <f>Revenue!N8*Assumptions!$E$21</f>
        <v>0</v>
      </c>
      <c r="O10" s="5">
        <f>Revenue!O8*Assumptions!$E$21</f>
        <v>0</v>
      </c>
      <c r="P10" s="5">
        <f>Revenue!P8*Assumptions!$E$21</f>
        <v>0</v>
      </c>
      <c r="Q10" s="5">
        <f>Revenue!Q8*Assumptions!$E$21</f>
        <v>0</v>
      </c>
      <c r="R10" s="5">
        <f>Revenue!R8*Assumptions!$E$21</f>
        <v>600</v>
      </c>
      <c r="S10" s="5">
        <f>Revenue!S8*Assumptions!$E$21</f>
        <v>600</v>
      </c>
      <c r="T10" s="5">
        <f>Revenue!T8*Assumptions!$E$21</f>
        <v>600</v>
      </c>
      <c r="U10" s="5">
        <f>Revenue!U8*Assumptions!$E$21</f>
        <v>600</v>
      </c>
      <c r="V10" s="5">
        <f>Revenue!V8*Assumptions!$E$21</f>
        <v>0</v>
      </c>
      <c r="W10" s="5">
        <f>Revenue!W8*Assumptions!$E$21</f>
        <v>0</v>
      </c>
      <c r="X10" s="5">
        <f>Revenue!X8*Assumptions!$E$21</f>
        <v>1200</v>
      </c>
      <c r="Y10" s="5">
        <f>Revenue!Y8*Assumptions!$E$21</f>
        <v>1200</v>
      </c>
      <c r="Z10" s="5">
        <f>Revenue!Z8*Assumptions!$E$21</f>
        <v>600</v>
      </c>
      <c r="AA10" s="5">
        <f>Revenue!AA8*Assumptions!$E$21</f>
        <v>600</v>
      </c>
      <c r="AB10" s="5">
        <f>Revenue!AB8*Assumptions!$E$21</f>
        <v>0</v>
      </c>
      <c r="AC10" s="5">
        <f>Revenue!AC8*Assumptions!$E$21</f>
        <v>600</v>
      </c>
      <c r="AD10" s="5">
        <f>Revenue!AD8*Assumptions!$E$21</f>
        <v>1200</v>
      </c>
      <c r="AE10" s="5">
        <f>Revenue!AE8*Assumptions!$E$21</f>
        <v>1200</v>
      </c>
      <c r="AF10" s="5">
        <f>Revenue!AF8*Assumptions!$E$21</f>
        <v>1200</v>
      </c>
      <c r="AG10" s="5">
        <f>Revenue!AG8*Assumptions!$E$21</f>
        <v>1200</v>
      </c>
      <c r="AH10" s="5">
        <f>Revenue!AH8*Assumptions!$E$21</f>
        <v>0</v>
      </c>
      <c r="AI10" s="5">
        <f>Revenue!AI8*Assumptions!$E$21</f>
        <v>0</v>
      </c>
      <c r="AJ10" s="5">
        <f>Revenue!AJ8*Assumptions!$E$21</f>
        <v>1800</v>
      </c>
      <c r="AK10" s="5">
        <f>Revenue!AK8*Assumptions!$E$21</f>
        <v>1800</v>
      </c>
      <c r="AL10" s="5">
        <f>Revenue!AL8*Assumptions!$E$21</f>
        <v>1200</v>
      </c>
      <c r="AM10" s="5">
        <f>Revenue!AM8*Assumptions!$E$21</f>
        <v>600</v>
      </c>
    </row>
    <row r="11" spans="3:39" ht="23.1" customHeight="1">
      <c r="C11" s="4" t="s">
        <v>128</v>
      </c>
      <c r="D11" s="11">
        <f t="shared" ref="D11:AM11" si="0">SUM(D7:D10)</f>
        <v>0</v>
      </c>
      <c r="E11" s="11">
        <f t="shared" si="0"/>
        <v>0</v>
      </c>
      <c r="F11" s="11">
        <f t="shared" si="0"/>
        <v>0</v>
      </c>
      <c r="G11" s="11">
        <f t="shared" si="0"/>
        <v>8400</v>
      </c>
      <c r="H11" s="11">
        <f t="shared" si="0"/>
        <v>0</v>
      </c>
      <c r="I11" s="11">
        <f t="shared" si="0"/>
        <v>8400</v>
      </c>
      <c r="J11" s="11">
        <f t="shared" si="0"/>
        <v>0</v>
      </c>
      <c r="K11" s="11">
        <f t="shared" si="0"/>
        <v>0</v>
      </c>
      <c r="L11" s="11">
        <f t="shared" si="0"/>
        <v>8400</v>
      </c>
      <c r="M11" s="11">
        <f t="shared" si="0"/>
        <v>8400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1">
        <f t="shared" si="0"/>
        <v>0</v>
      </c>
      <c r="R11" s="11">
        <f t="shared" si="0"/>
        <v>8400</v>
      </c>
      <c r="S11" s="11">
        <f t="shared" si="0"/>
        <v>8400</v>
      </c>
      <c r="T11" s="11">
        <f t="shared" si="0"/>
        <v>8400</v>
      </c>
      <c r="U11" s="11">
        <f t="shared" si="0"/>
        <v>8400</v>
      </c>
      <c r="V11" s="11">
        <f t="shared" si="0"/>
        <v>0</v>
      </c>
      <c r="W11" s="11">
        <f t="shared" si="0"/>
        <v>0</v>
      </c>
      <c r="X11" s="11">
        <f t="shared" si="0"/>
        <v>18400</v>
      </c>
      <c r="Y11" s="11">
        <f t="shared" si="0"/>
        <v>18400</v>
      </c>
      <c r="Z11" s="11">
        <f t="shared" si="0"/>
        <v>8400</v>
      </c>
      <c r="AA11" s="11">
        <f t="shared" si="0"/>
        <v>8400</v>
      </c>
      <c r="AB11" s="11">
        <f t="shared" si="0"/>
        <v>0</v>
      </c>
      <c r="AC11" s="11">
        <f t="shared" si="0"/>
        <v>8400</v>
      </c>
      <c r="AD11" s="11">
        <f t="shared" si="0"/>
        <v>18400</v>
      </c>
      <c r="AE11" s="11">
        <f t="shared" si="0"/>
        <v>18400</v>
      </c>
      <c r="AF11" s="11">
        <f t="shared" si="0"/>
        <v>18400</v>
      </c>
      <c r="AG11" s="11">
        <f t="shared" si="0"/>
        <v>18400</v>
      </c>
      <c r="AH11" s="11">
        <f t="shared" si="0"/>
        <v>0</v>
      </c>
      <c r="AI11" s="11">
        <f t="shared" si="0"/>
        <v>0</v>
      </c>
      <c r="AJ11" s="11">
        <f t="shared" si="0"/>
        <v>28400</v>
      </c>
      <c r="AK11" s="11">
        <f t="shared" si="0"/>
        <v>28400</v>
      </c>
      <c r="AL11" s="11">
        <f t="shared" si="0"/>
        <v>18400</v>
      </c>
      <c r="AM11" s="11">
        <f t="shared" si="0"/>
        <v>8400</v>
      </c>
    </row>
    <row r="12" spans="3:39" ht="23.1" customHeight="1">
      <c r="C12" s="4" t="s">
        <v>129</v>
      </c>
      <c r="D12" s="5">
        <f>Assumptions!$E$22</f>
        <v>6000</v>
      </c>
      <c r="E12" s="5">
        <f>Assumptions!$E$22</f>
        <v>6000</v>
      </c>
      <c r="F12" s="5">
        <f>Assumptions!$E$22</f>
        <v>6000</v>
      </c>
      <c r="G12" s="5">
        <f>Assumptions!$E$22</f>
        <v>6000</v>
      </c>
      <c r="H12" s="5">
        <f>Assumptions!$E$22</f>
        <v>6000</v>
      </c>
      <c r="I12" s="5">
        <f>Assumptions!$E$22</f>
        <v>6000</v>
      </c>
      <c r="J12" s="5">
        <f>Assumptions!$E$22</f>
        <v>6000</v>
      </c>
      <c r="K12" s="5">
        <f>Assumptions!$E$22</f>
        <v>6000</v>
      </c>
      <c r="L12" s="5">
        <f>Assumptions!$E$22</f>
        <v>6000</v>
      </c>
      <c r="M12" s="5">
        <f>Assumptions!$E$22</f>
        <v>6000</v>
      </c>
      <c r="N12" s="5">
        <f>Assumptions!$E$22</f>
        <v>6000</v>
      </c>
      <c r="O12" s="5">
        <f>Assumptions!$E$22</f>
        <v>6000</v>
      </c>
      <c r="P12" s="5">
        <f>Assumptions!$E$22</f>
        <v>6000</v>
      </c>
      <c r="Q12" s="5">
        <f>Assumptions!$E$22</f>
        <v>6000</v>
      </c>
      <c r="R12" s="5">
        <f>Assumptions!$E$22</f>
        <v>6000</v>
      </c>
      <c r="S12" s="5">
        <f>Assumptions!$E$22</f>
        <v>6000</v>
      </c>
      <c r="T12" s="5">
        <f>Assumptions!$E$22</f>
        <v>6000</v>
      </c>
      <c r="U12" s="5">
        <f>Assumptions!$E$22</f>
        <v>6000</v>
      </c>
      <c r="V12" s="5">
        <f>Assumptions!$E$22</f>
        <v>6000</v>
      </c>
      <c r="W12" s="5">
        <f>Assumptions!$E$22</f>
        <v>6000</v>
      </c>
      <c r="X12" s="5">
        <f>Assumptions!$E$22</f>
        <v>6000</v>
      </c>
      <c r="Y12" s="5">
        <f>Assumptions!$E$22</f>
        <v>6000</v>
      </c>
      <c r="Z12" s="5">
        <f>Assumptions!$E$22</f>
        <v>6000</v>
      </c>
      <c r="AA12" s="5">
        <f>Assumptions!$E$22</f>
        <v>6000</v>
      </c>
      <c r="AB12" s="5">
        <f>Assumptions!$E$22</f>
        <v>6000</v>
      </c>
      <c r="AC12" s="5">
        <f>Assumptions!$E$22</f>
        <v>6000</v>
      </c>
      <c r="AD12" s="5">
        <f>Assumptions!$E$22</f>
        <v>6000</v>
      </c>
      <c r="AE12" s="5">
        <f>Assumptions!$E$22</f>
        <v>6000</v>
      </c>
      <c r="AF12" s="5">
        <f>Assumptions!$E$22</f>
        <v>6000</v>
      </c>
      <c r="AG12" s="5">
        <f>Assumptions!$E$22</f>
        <v>6000</v>
      </c>
      <c r="AH12" s="5">
        <f>Assumptions!$E$22</f>
        <v>6000</v>
      </c>
      <c r="AI12" s="5">
        <f>Assumptions!$E$22</f>
        <v>6000</v>
      </c>
      <c r="AJ12" s="5">
        <f>Assumptions!$E$22</f>
        <v>6000</v>
      </c>
      <c r="AK12" s="5">
        <f>Assumptions!$E$22</f>
        <v>6000</v>
      </c>
      <c r="AL12" s="5">
        <f>Assumptions!$E$22</f>
        <v>6000</v>
      </c>
      <c r="AM12" s="5">
        <f>Assumptions!$E$22</f>
        <v>6000</v>
      </c>
    </row>
    <row r="13" spans="3:39" ht="23.1" customHeight="1">
      <c r="C13" s="4" t="s">
        <v>130</v>
      </c>
      <c r="D13" s="5">
        <f>Assumptions!$E$23</f>
        <v>1800</v>
      </c>
      <c r="E13" s="5">
        <f>Assumptions!$E$23</f>
        <v>1800</v>
      </c>
      <c r="F13" s="5">
        <f>Assumptions!$E$23</f>
        <v>1800</v>
      </c>
      <c r="G13" s="5">
        <f>Assumptions!$E$23</f>
        <v>1800</v>
      </c>
      <c r="H13" s="5">
        <f>Assumptions!$E$23</f>
        <v>1800</v>
      </c>
      <c r="I13" s="5">
        <f>Assumptions!$E$23</f>
        <v>1800</v>
      </c>
      <c r="J13" s="5">
        <f>Assumptions!$E$23</f>
        <v>1800</v>
      </c>
      <c r="K13" s="5">
        <f>Assumptions!$E$23</f>
        <v>1800</v>
      </c>
      <c r="L13" s="5">
        <f>Assumptions!$E$23</f>
        <v>1800</v>
      </c>
      <c r="M13" s="5">
        <f>Assumptions!$E$23</f>
        <v>1800</v>
      </c>
      <c r="N13" s="5">
        <f>Assumptions!$E$23</f>
        <v>1800</v>
      </c>
      <c r="O13" s="5">
        <f>Assumptions!$E$23</f>
        <v>1800</v>
      </c>
      <c r="P13" s="5">
        <f>Assumptions!$E$23</f>
        <v>1800</v>
      </c>
      <c r="Q13" s="5">
        <f>Assumptions!$E$23</f>
        <v>1800</v>
      </c>
      <c r="R13" s="5">
        <f>Assumptions!$E$23</f>
        <v>1800</v>
      </c>
      <c r="S13" s="5">
        <f>Assumptions!$E$23</f>
        <v>1800</v>
      </c>
      <c r="T13" s="5">
        <f>Assumptions!$E$23</f>
        <v>1800</v>
      </c>
      <c r="U13" s="5">
        <f>Assumptions!$E$23</f>
        <v>1800</v>
      </c>
      <c r="V13" s="5">
        <f>Assumptions!$E$23</f>
        <v>1800</v>
      </c>
      <c r="W13" s="5">
        <f>Assumptions!$E$23</f>
        <v>1800</v>
      </c>
      <c r="X13" s="5">
        <f>Assumptions!$E$23</f>
        <v>1800</v>
      </c>
      <c r="Y13" s="5">
        <f>Assumptions!$E$23</f>
        <v>1800</v>
      </c>
      <c r="Z13" s="5">
        <f>Assumptions!$E$23</f>
        <v>1800</v>
      </c>
      <c r="AA13" s="5">
        <f>Assumptions!$E$23</f>
        <v>1800</v>
      </c>
      <c r="AB13" s="5">
        <f>Assumptions!$E$23</f>
        <v>1800</v>
      </c>
      <c r="AC13" s="5">
        <f>Assumptions!$E$23</f>
        <v>1800</v>
      </c>
      <c r="AD13" s="5">
        <f>Assumptions!$E$23</f>
        <v>1800</v>
      </c>
      <c r="AE13" s="5">
        <f>Assumptions!$E$23</f>
        <v>1800</v>
      </c>
      <c r="AF13" s="5">
        <f>Assumptions!$E$23</f>
        <v>1800</v>
      </c>
      <c r="AG13" s="5">
        <f>Assumptions!$E$23</f>
        <v>1800</v>
      </c>
      <c r="AH13" s="5">
        <f>Assumptions!$E$23</f>
        <v>1800</v>
      </c>
      <c r="AI13" s="5">
        <f>Assumptions!$E$23</f>
        <v>1800</v>
      </c>
      <c r="AJ13" s="5">
        <f>Assumptions!$E$23</f>
        <v>1800</v>
      </c>
      <c r="AK13" s="5">
        <f>Assumptions!$E$23</f>
        <v>1800</v>
      </c>
      <c r="AL13" s="5">
        <f>Assumptions!$E$23</f>
        <v>1800</v>
      </c>
      <c r="AM13" s="5">
        <f>Assumptions!$E$23</f>
        <v>1800</v>
      </c>
    </row>
    <row r="14" spans="3:39" ht="23.1" customHeight="1">
      <c r="C14" s="4" t="s">
        <v>100</v>
      </c>
      <c r="D14" s="5">
        <f>Revenue!D9*Assumptions!$E$29</f>
        <v>0</v>
      </c>
      <c r="E14" s="5">
        <f>Revenue!E9*Assumptions!$E$29</f>
        <v>0</v>
      </c>
      <c r="F14" s="5">
        <f>Revenue!F9*Assumptions!$E$29</f>
        <v>0</v>
      </c>
      <c r="G14" s="5">
        <f>Revenue!G9*Assumptions!$E$29</f>
        <v>360</v>
      </c>
      <c r="H14" s="5">
        <f>Revenue!H9*Assumptions!$E$29</f>
        <v>0</v>
      </c>
      <c r="I14" s="5">
        <f>Revenue!I9*Assumptions!$E$29</f>
        <v>360</v>
      </c>
      <c r="J14" s="5">
        <f>Revenue!J9*Assumptions!$E$29</f>
        <v>0</v>
      </c>
      <c r="K14" s="5">
        <f>Revenue!K9*Assumptions!$E$29</f>
        <v>0</v>
      </c>
      <c r="L14" s="5">
        <f>Revenue!L9*Assumptions!$E$29</f>
        <v>360</v>
      </c>
      <c r="M14" s="5">
        <f>Revenue!M9*Assumptions!$E$29</f>
        <v>360</v>
      </c>
      <c r="N14" s="5">
        <f>Revenue!N9*Assumptions!$E$29</f>
        <v>0</v>
      </c>
      <c r="O14" s="5">
        <f>Revenue!O9*Assumptions!$E$29</f>
        <v>0</v>
      </c>
      <c r="P14" s="5">
        <f>Revenue!P9*Assumptions!$E$29</f>
        <v>0</v>
      </c>
      <c r="Q14" s="5">
        <f>Revenue!Q9*Assumptions!$E$29</f>
        <v>0</v>
      </c>
      <c r="R14" s="5">
        <f>Revenue!R9*Assumptions!$E$29</f>
        <v>360</v>
      </c>
      <c r="S14" s="5">
        <f>Revenue!S9*Assumptions!$E$29</f>
        <v>360</v>
      </c>
      <c r="T14" s="5">
        <f>Revenue!T9*Assumptions!$E$29</f>
        <v>360</v>
      </c>
      <c r="U14" s="5">
        <f>Revenue!U9*Assumptions!$E$29</f>
        <v>360</v>
      </c>
      <c r="V14" s="5">
        <f>Revenue!V9*Assumptions!$E$29</f>
        <v>0</v>
      </c>
      <c r="W14" s="5">
        <f>Revenue!W9*Assumptions!$E$29</f>
        <v>0</v>
      </c>
      <c r="X14" s="5">
        <f>Revenue!X9*Assumptions!$E$29</f>
        <v>720</v>
      </c>
      <c r="Y14" s="5">
        <f>Revenue!Y9*Assumptions!$E$29</f>
        <v>720</v>
      </c>
      <c r="Z14" s="5">
        <f>Revenue!Z9*Assumptions!$E$29</f>
        <v>360</v>
      </c>
      <c r="AA14" s="5">
        <f>Revenue!AA9*Assumptions!$E$29</f>
        <v>360</v>
      </c>
      <c r="AB14" s="5">
        <f>Revenue!AB9*Assumptions!$E$29</f>
        <v>0</v>
      </c>
      <c r="AC14" s="5">
        <f>Revenue!AC9*Assumptions!$E$29</f>
        <v>360</v>
      </c>
      <c r="AD14" s="5">
        <f>Revenue!AD9*Assumptions!$E$29</f>
        <v>720</v>
      </c>
      <c r="AE14" s="5">
        <f>Revenue!AE9*Assumptions!$E$29</f>
        <v>720</v>
      </c>
      <c r="AF14" s="5">
        <f>Revenue!AF9*Assumptions!$E$29</f>
        <v>720</v>
      </c>
      <c r="AG14" s="5">
        <f>Revenue!AG9*Assumptions!$E$29</f>
        <v>720</v>
      </c>
      <c r="AH14" s="5">
        <f>Revenue!AH9*Assumptions!$E$29</f>
        <v>0</v>
      </c>
      <c r="AI14" s="5">
        <f>Revenue!AI9*Assumptions!$E$29</f>
        <v>0</v>
      </c>
      <c r="AJ14" s="5">
        <f>Revenue!AJ9*Assumptions!$E$29</f>
        <v>1080</v>
      </c>
      <c r="AK14" s="5">
        <f>Revenue!AK9*Assumptions!$E$29</f>
        <v>1080</v>
      </c>
      <c r="AL14" s="5">
        <f>Revenue!AL9*Assumptions!$E$29</f>
        <v>720</v>
      </c>
      <c r="AM14" s="5">
        <f>Revenue!AM9*Assumptions!$E$29</f>
        <v>360</v>
      </c>
    </row>
    <row r="15" spans="3:39" ht="23.1" customHeight="1">
      <c r="C15" s="4" t="s">
        <v>131</v>
      </c>
      <c r="D15" s="5">
        <f>Assumptions!$E$24</f>
        <v>12000</v>
      </c>
      <c r="E15" s="11">
        <f>0</f>
        <v>0</v>
      </c>
      <c r="F15" s="11">
        <f>0</f>
        <v>0</v>
      </c>
      <c r="G15" s="11">
        <f>0</f>
        <v>0</v>
      </c>
      <c r="H15" s="11">
        <f>0</f>
        <v>0</v>
      </c>
      <c r="I15" s="11">
        <f>0</f>
        <v>0</v>
      </c>
      <c r="J15" s="11">
        <f>0</f>
        <v>0</v>
      </c>
      <c r="K15" s="11">
        <f>0</f>
        <v>0</v>
      </c>
      <c r="L15" s="11">
        <f>0</f>
        <v>0</v>
      </c>
      <c r="M15" s="11">
        <f>0</f>
        <v>0</v>
      </c>
      <c r="N15" s="11">
        <f>0</f>
        <v>0</v>
      </c>
      <c r="O15" s="11">
        <f>0</f>
        <v>0</v>
      </c>
      <c r="P15" s="11">
        <f>0</f>
        <v>0</v>
      </c>
      <c r="Q15" s="11">
        <f>0</f>
        <v>0</v>
      </c>
      <c r="R15" s="11">
        <f>0</f>
        <v>0</v>
      </c>
      <c r="S15" s="11">
        <f>0</f>
        <v>0</v>
      </c>
      <c r="T15" s="11">
        <f>0</f>
        <v>0</v>
      </c>
      <c r="U15" s="11">
        <f>0</f>
        <v>0</v>
      </c>
      <c r="V15" s="11">
        <f>0</f>
        <v>0</v>
      </c>
      <c r="W15" s="11">
        <f>0</f>
        <v>0</v>
      </c>
      <c r="X15" s="11">
        <f>0</f>
        <v>0</v>
      </c>
      <c r="Y15" s="11">
        <f>0</f>
        <v>0</v>
      </c>
      <c r="Z15" s="11">
        <f>0</f>
        <v>0</v>
      </c>
      <c r="AA15" s="11">
        <f>0</f>
        <v>0</v>
      </c>
      <c r="AB15" s="11">
        <f>0</f>
        <v>0</v>
      </c>
      <c r="AC15" s="11">
        <f>0</f>
        <v>0</v>
      </c>
      <c r="AD15" s="11">
        <f>0</f>
        <v>0</v>
      </c>
      <c r="AE15" s="11">
        <f>0</f>
        <v>0</v>
      </c>
      <c r="AF15" s="11">
        <f>0</f>
        <v>0</v>
      </c>
      <c r="AG15" s="11">
        <f>0</f>
        <v>0</v>
      </c>
      <c r="AH15" s="11">
        <f>0</f>
        <v>0</v>
      </c>
      <c r="AI15" s="11">
        <f>0</f>
        <v>0</v>
      </c>
      <c r="AJ15" s="11">
        <f>0</f>
        <v>0</v>
      </c>
      <c r="AK15" s="11">
        <f>0</f>
        <v>0</v>
      </c>
      <c r="AL15" s="11">
        <f>0</f>
        <v>0</v>
      </c>
      <c r="AM15" s="11">
        <f>0</f>
        <v>0</v>
      </c>
    </row>
    <row r="16" spans="3:39" ht="23.1" customHeight="1">
      <c r="C16" s="4" t="s">
        <v>132</v>
      </c>
      <c r="D16" s="5">
        <f>IF(0&lt;Assumptions!$E$25,Assumptions!$E$24/Assumptions!$E$25,0)</f>
        <v>333.33333333333331</v>
      </c>
      <c r="E16" s="5">
        <f>IF(1&lt;Assumptions!$E$25,Assumptions!$E$24/Assumptions!$E$25,0)</f>
        <v>333.33333333333331</v>
      </c>
      <c r="F16" s="5">
        <f>IF(2&lt;Assumptions!$E$25,Assumptions!$E$24/Assumptions!$E$25,0)</f>
        <v>333.33333333333331</v>
      </c>
      <c r="G16" s="5">
        <f>IF(3&lt;Assumptions!$E$25,Assumptions!$E$24/Assumptions!$E$25,0)</f>
        <v>333.33333333333331</v>
      </c>
      <c r="H16" s="5">
        <f>IF(4&lt;Assumptions!$E$25,Assumptions!$E$24/Assumptions!$E$25,0)</f>
        <v>333.33333333333331</v>
      </c>
      <c r="I16" s="5">
        <f>IF(5&lt;Assumptions!$E$25,Assumptions!$E$24/Assumptions!$E$25,0)</f>
        <v>333.33333333333331</v>
      </c>
      <c r="J16" s="5">
        <f>IF(6&lt;Assumptions!$E$25,Assumptions!$E$24/Assumptions!$E$25,0)</f>
        <v>333.33333333333331</v>
      </c>
      <c r="K16" s="5">
        <f>IF(7&lt;Assumptions!$E$25,Assumptions!$E$24/Assumptions!$E$25,0)</f>
        <v>333.33333333333331</v>
      </c>
      <c r="L16" s="5">
        <f>IF(8&lt;Assumptions!$E$25,Assumptions!$E$24/Assumptions!$E$25,0)</f>
        <v>333.33333333333331</v>
      </c>
      <c r="M16" s="5">
        <f>IF(9&lt;Assumptions!$E$25,Assumptions!$E$24/Assumptions!$E$25,0)</f>
        <v>333.33333333333331</v>
      </c>
      <c r="N16" s="5">
        <f>IF(10&lt;Assumptions!$E$25,Assumptions!$E$24/Assumptions!$E$25,0)</f>
        <v>333.33333333333331</v>
      </c>
      <c r="O16" s="5">
        <f>IF(11&lt;Assumptions!$E$25,Assumptions!$E$24/Assumptions!$E$25,0)</f>
        <v>333.33333333333331</v>
      </c>
      <c r="P16" s="5">
        <f>IF(12&lt;Assumptions!$E$25,Assumptions!$E$24/Assumptions!$E$25,0)</f>
        <v>333.33333333333331</v>
      </c>
      <c r="Q16" s="5">
        <f>IF(13&lt;Assumptions!$E$25,Assumptions!$E$24/Assumptions!$E$25,0)</f>
        <v>333.33333333333331</v>
      </c>
      <c r="R16" s="5">
        <f>IF(14&lt;Assumptions!$E$25,Assumptions!$E$24/Assumptions!$E$25,0)</f>
        <v>333.33333333333331</v>
      </c>
      <c r="S16" s="5">
        <f>IF(15&lt;Assumptions!$E$25,Assumptions!$E$24/Assumptions!$E$25,0)</f>
        <v>333.33333333333331</v>
      </c>
      <c r="T16" s="5">
        <f>IF(16&lt;Assumptions!$E$25,Assumptions!$E$24/Assumptions!$E$25,0)</f>
        <v>333.33333333333331</v>
      </c>
      <c r="U16" s="5">
        <f>IF(17&lt;Assumptions!$E$25,Assumptions!$E$24/Assumptions!$E$25,0)</f>
        <v>333.33333333333331</v>
      </c>
      <c r="V16" s="5">
        <f>IF(18&lt;Assumptions!$E$25,Assumptions!$E$24/Assumptions!$E$25,0)</f>
        <v>333.33333333333331</v>
      </c>
      <c r="W16" s="5">
        <f>IF(19&lt;Assumptions!$E$25,Assumptions!$E$24/Assumptions!$E$25,0)</f>
        <v>333.33333333333331</v>
      </c>
      <c r="X16" s="5">
        <f>IF(20&lt;Assumptions!$E$25,Assumptions!$E$24/Assumptions!$E$25,0)</f>
        <v>333.33333333333331</v>
      </c>
      <c r="Y16" s="5">
        <f>IF(21&lt;Assumptions!$E$25,Assumptions!$E$24/Assumptions!$E$25,0)</f>
        <v>333.33333333333331</v>
      </c>
      <c r="Z16" s="5">
        <f>IF(22&lt;Assumptions!$E$25,Assumptions!$E$24/Assumptions!$E$25,0)</f>
        <v>333.33333333333331</v>
      </c>
      <c r="AA16" s="5">
        <f>IF(23&lt;Assumptions!$E$25,Assumptions!$E$24/Assumptions!$E$25,0)</f>
        <v>333.33333333333331</v>
      </c>
      <c r="AB16" s="5">
        <f>IF(24&lt;Assumptions!$E$25,Assumptions!$E$24/Assumptions!$E$25,0)</f>
        <v>333.33333333333331</v>
      </c>
      <c r="AC16" s="5">
        <f>IF(25&lt;Assumptions!$E$25,Assumptions!$E$24/Assumptions!$E$25,0)</f>
        <v>333.33333333333331</v>
      </c>
      <c r="AD16" s="5">
        <f>IF(26&lt;Assumptions!$E$25,Assumptions!$E$24/Assumptions!$E$25,0)</f>
        <v>333.33333333333331</v>
      </c>
      <c r="AE16" s="5">
        <f>IF(27&lt;Assumptions!$E$25,Assumptions!$E$24/Assumptions!$E$25,0)</f>
        <v>333.33333333333331</v>
      </c>
      <c r="AF16" s="5">
        <f>IF(28&lt;Assumptions!$E$25,Assumptions!$E$24/Assumptions!$E$25,0)</f>
        <v>333.33333333333331</v>
      </c>
      <c r="AG16" s="5">
        <f>IF(29&lt;Assumptions!$E$25,Assumptions!$E$24/Assumptions!$E$25,0)</f>
        <v>333.33333333333331</v>
      </c>
      <c r="AH16" s="5">
        <f>IF(30&lt;Assumptions!$E$25,Assumptions!$E$24/Assumptions!$E$25,0)</f>
        <v>333.33333333333331</v>
      </c>
      <c r="AI16" s="5">
        <f>IF(31&lt;Assumptions!$E$25,Assumptions!$E$24/Assumptions!$E$25,0)</f>
        <v>333.33333333333331</v>
      </c>
      <c r="AJ16" s="5">
        <f>IF(32&lt;Assumptions!$E$25,Assumptions!$E$24/Assumptions!$E$25,0)</f>
        <v>333.33333333333331</v>
      </c>
      <c r="AK16" s="5">
        <f>IF(33&lt;Assumptions!$E$25,Assumptions!$E$24/Assumptions!$E$25,0)</f>
        <v>333.33333333333331</v>
      </c>
      <c r="AL16" s="5">
        <f>IF(34&lt;Assumptions!$E$25,Assumptions!$E$24/Assumptions!$E$25,0)</f>
        <v>333.33333333333331</v>
      </c>
      <c r="AM16" s="5">
        <f>IF(35&lt;Assumptions!$E$25,Assumptions!$E$24/Assumptions!$E$25,0)</f>
        <v>333.33333333333331</v>
      </c>
    </row>
    <row r="17" spans="3:39" ht="23.1" customHeight="1">
      <c r="C17" s="4" t="s">
        <v>133</v>
      </c>
      <c r="D17" s="11">
        <f t="shared" ref="D17:AM17" si="1">D11+SUM(D12:D14)+D16</f>
        <v>8133.333333333333</v>
      </c>
      <c r="E17" s="11">
        <f t="shared" si="1"/>
        <v>8133.333333333333</v>
      </c>
      <c r="F17" s="11">
        <f t="shared" si="1"/>
        <v>8133.333333333333</v>
      </c>
      <c r="G17" s="11">
        <f t="shared" si="1"/>
        <v>16893.333333333332</v>
      </c>
      <c r="H17" s="11">
        <f t="shared" si="1"/>
        <v>8133.333333333333</v>
      </c>
      <c r="I17" s="11">
        <f t="shared" si="1"/>
        <v>16893.333333333332</v>
      </c>
      <c r="J17" s="11">
        <f t="shared" si="1"/>
        <v>8133.333333333333</v>
      </c>
      <c r="K17" s="11">
        <f t="shared" si="1"/>
        <v>8133.333333333333</v>
      </c>
      <c r="L17" s="11">
        <f t="shared" si="1"/>
        <v>16893.333333333332</v>
      </c>
      <c r="M17" s="11">
        <f t="shared" si="1"/>
        <v>16893.333333333332</v>
      </c>
      <c r="N17" s="11">
        <f t="shared" si="1"/>
        <v>8133.333333333333</v>
      </c>
      <c r="O17" s="11">
        <f t="shared" si="1"/>
        <v>8133.333333333333</v>
      </c>
      <c r="P17" s="11">
        <f t="shared" si="1"/>
        <v>8133.333333333333</v>
      </c>
      <c r="Q17" s="11">
        <f t="shared" si="1"/>
        <v>8133.333333333333</v>
      </c>
      <c r="R17" s="11">
        <f t="shared" si="1"/>
        <v>16893.333333333332</v>
      </c>
      <c r="S17" s="11">
        <f t="shared" si="1"/>
        <v>16893.333333333332</v>
      </c>
      <c r="T17" s="11">
        <f t="shared" si="1"/>
        <v>16893.333333333332</v>
      </c>
      <c r="U17" s="11">
        <f t="shared" si="1"/>
        <v>16893.333333333332</v>
      </c>
      <c r="V17" s="11">
        <f t="shared" si="1"/>
        <v>8133.333333333333</v>
      </c>
      <c r="W17" s="11">
        <f t="shared" si="1"/>
        <v>8133.333333333333</v>
      </c>
      <c r="X17" s="11">
        <f t="shared" si="1"/>
        <v>27253.333333333332</v>
      </c>
      <c r="Y17" s="11">
        <f t="shared" si="1"/>
        <v>27253.333333333332</v>
      </c>
      <c r="Z17" s="11">
        <f t="shared" si="1"/>
        <v>16893.333333333332</v>
      </c>
      <c r="AA17" s="11">
        <f t="shared" si="1"/>
        <v>16893.333333333332</v>
      </c>
      <c r="AB17" s="11">
        <f t="shared" si="1"/>
        <v>8133.333333333333</v>
      </c>
      <c r="AC17" s="11">
        <f t="shared" si="1"/>
        <v>16893.333333333332</v>
      </c>
      <c r="AD17" s="11">
        <f t="shared" si="1"/>
        <v>27253.333333333332</v>
      </c>
      <c r="AE17" s="11">
        <f t="shared" si="1"/>
        <v>27253.333333333332</v>
      </c>
      <c r="AF17" s="11">
        <f t="shared" si="1"/>
        <v>27253.333333333332</v>
      </c>
      <c r="AG17" s="11">
        <f t="shared" si="1"/>
        <v>27253.333333333332</v>
      </c>
      <c r="AH17" s="11">
        <f t="shared" si="1"/>
        <v>8133.333333333333</v>
      </c>
      <c r="AI17" s="11">
        <f t="shared" si="1"/>
        <v>8133.333333333333</v>
      </c>
      <c r="AJ17" s="11">
        <f t="shared" si="1"/>
        <v>37613.333333333336</v>
      </c>
      <c r="AK17" s="11">
        <f t="shared" si="1"/>
        <v>37613.333333333336</v>
      </c>
      <c r="AL17" s="11">
        <f t="shared" si="1"/>
        <v>27253.333333333332</v>
      </c>
      <c r="AM17" s="11">
        <f t="shared" si="1"/>
        <v>16893.333333333332</v>
      </c>
    </row>
    <row r="18" spans="3:39" ht="23.1" customHeight="1">
      <c r="C18" s="4" t="s">
        <v>134</v>
      </c>
      <c r="D18" s="11">
        <f t="shared" ref="D18:AM18" si="2">D17-D16</f>
        <v>7800</v>
      </c>
      <c r="E18" s="11">
        <f t="shared" si="2"/>
        <v>7800</v>
      </c>
      <c r="F18" s="11">
        <f t="shared" si="2"/>
        <v>7800</v>
      </c>
      <c r="G18" s="11">
        <f t="shared" si="2"/>
        <v>16560</v>
      </c>
      <c r="H18" s="11">
        <f t="shared" si="2"/>
        <v>7800</v>
      </c>
      <c r="I18" s="11">
        <f t="shared" si="2"/>
        <v>16560</v>
      </c>
      <c r="J18" s="11">
        <f t="shared" si="2"/>
        <v>7800</v>
      </c>
      <c r="K18" s="11">
        <f t="shared" si="2"/>
        <v>7800</v>
      </c>
      <c r="L18" s="11">
        <f t="shared" si="2"/>
        <v>16560</v>
      </c>
      <c r="M18" s="11">
        <f t="shared" si="2"/>
        <v>16560</v>
      </c>
      <c r="N18" s="11">
        <f t="shared" si="2"/>
        <v>7800</v>
      </c>
      <c r="O18" s="11">
        <f t="shared" si="2"/>
        <v>7800</v>
      </c>
      <c r="P18" s="11">
        <f t="shared" si="2"/>
        <v>7800</v>
      </c>
      <c r="Q18" s="11">
        <f t="shared" si="2"/>
        <v>7800</v>
      </c>
      <c r="R18" s="11">
        <f t="shared" si="2"/>
        <v>16560</v>
      </c>
      <c r="S18" s="11">
        <f t="shared" si="2"/>
        <v>16560</v>
      </c>
      <c r="T18" s="11">
        <f t="shared" si="2"/>
        <v>16560</v>
      </c>
      <c r="U18" s="11">
        <f t="shared" si="2"/>
        <v>16560</v>
      </c>
      <c r="V18" s="11">
        <f t="shared" si="2"/>
        <v>7800</v>
      </c>
      <c r="W18" s="11">
        <f t="shared" si="2"/>
        <v>7800</v>
      </c>
      <c r="X18" s="11">
        <f t="shared" si="2"/>
        <v>26920</v>
      </c>
      <c r="Y18" s="11">
        <f t="shared" si="2"/>
        <v>26920</v>
      </c>
      <c r="Z18" s="11">
        <f t="shared" si="2"/>
        <v>16560</v>
      </c>
      <c r="AA18" s="11">
        <f t="shared" si="2"/>
        <v>16560</v>
      </c>
      <c r="AB18" s="11">
        <f t="shared" si="2"/>
        <v>7800</v>
      </c>
      <c r="AC18" s="11">
        <f t="shared" si="2"/>
        <v>16560</v>
      </c>
      <c r="AD18" s="11">
        <f t="shared" si="2"/>
        <v>26920</v>
      </c>
      <c r="AE18" s="11">
        <f t="shared" si="2"/>
        <v>26920</v>
      </c>
      <c r="AF18" s="11">
        <f t="shared" si="2"/>
        <v>26920</v>
      </c>
      <c r="AG18" s="11">
        <f t="shared" si="2"/>
        <v>26920</v>
      </c>
      <c r="AH18" s="11">
        <f t="shared" si="2"/>
        <v>7800</v>
      </c>
      <c r="AI18" s="11">
        <f t="shared" si="2"/>
        <v>7800</v>
      </c>
      <c r="AJ18" s="11">
        <f t="shared" si="2"/>
        <v>37280</v>
      </c>
      <c r="AK18" s="11">
        <f t="shared" si="2"/>
        <v>37280</v>
      </c>
      <c r="AL18" s="11">
        <f t="shared" si="2"/>
        <v>26920</v>
      </c>
      <c r="AM18" s="11">
        <f t="shared" si="2"/>
        <v>16560</v>
      </c>
    </row>
    <row r="19" spans="3:39" ht="23.1" customHeight="1">
      <c r="C19" s="4" t="s">
        <v>12</v>
      </c>
      <c r="D19" s="5">
        <f>Revenue!D9-D17</f>
        <v>-8133.333333333333</v>
      </c>
      <c r="E19" s="5">
        <f>Revenue!E9-E17</f>
        <v>-8133.333333333333</v>
      </c>
      <c r="F19" s="5">
        <f>Revenue!F9-F17</f>
        <v>-8133.333333333333</v>
      </c>
      <c r="G19" s="5">
        <f>Revenue!G9-G17</f>
        <v>1106.6666666666679</v>
      </c>
      <c r="H19" s="5">
        <f>Revenue!H9-H17</f>
        <v>-8133.333333333333</v>
      </c>
      <c r="I19" s="5">
        <f>Revenue!I9-I17</f>
        <v>1106.6666666666679</v>
      </c>
      <c r="J19" s="5">
        <f>Revenue!J9-J17</f>
        <v>-8133.333333333333</v>
      </c>
      <c r="K19" s="5">
        <f>Revenue!K9-K17</f>
        <v>-8133.333333333333</v>
      </c>
      <c r="L19" s="5">
        <f>Revenue!L9-L17</f>
        <v>1106.6666666666679</v>
      </c>
      <c r="M19" s="5">
        <f>Revenue!M9-M17</f>
        <v>1106.6666666666679</v>
      </c>
      <c r="N19" s="5">
        <f>Revenue!N9-N17</f>
        <v>-8133.333333333333</v>
      </c>
      <c r="O19" s="5">
        <f>Revenue!O9-O17</f>
        <v>-8133.333333333333</v>
      </c>
      <c r="P19" s="5">
        <f>Revenue!P9-P17</f>
        <v>-8133.333333333333</v>
      </c>
      <c r="Q19" s="5">
        <f>Revenue!Q9-Q17</f>
        <v>-8133.333333333333</v>
      </c>
      <c r="R19" s="5">
        <f>Revenue!R9-R17</f>
        <v>1106.6666666666679</v>
      </c>
      <c r="S19" s="5">
        <f>Revenue!S9-S17</f>
        <v>1106.6666666666679</v>
      </c>
      <c r="T19" s="5">
        <f>Revenue!T9-T17</f>
        <v>1106.6666666666679</v>
      </c>
      <c r="U19" s="5">
        <f>Revenue!U9-U17</f>
        <v>1106.6666666666679</v>
      </c>
      <c r="V19" s="5">
        <f>Revenue!V9-V17</f>
        <v>-8133.333333333333</v>
      </c>
      <c r="W19" s="5">
        <f>Revenue!W9-W17</f>
        <v>-8133.333333333333</v>
      </c>
      <c r="X19" s="5">
        <f>Revenue!X9-X17</f>
        <v>8746.6666666666679</v>
      </c>
      <c r="Y19" s="5">
        <f>Revenue!Y9-Y17</f>
        <v>8746.6666666666679</v>
      </c>
      <c r="Z19" s="5">
        <f>Revenue!Z9-Z17</f>
        <v>1106.6666666666679</v>
      </c>
      <c r="AA19" s="5">
        <f>Revenue!AA9-AA17</f>
        <v>1106.6666666666679</v>
      </c>
      <c r="AB19" s="5">
        <f>Revenue!AB9-AB17</f>
        <v>-8133.333333333333</v>
      </c>
      <c r="AC19" s="5">
        <f>Revenue!AC9-AC17</f>
        <v>1106.6666666666679</v>
      </c>
      <c r="AD19" s="5">
        <f>Revenue!AD9-AD17</f>
        <v>8746.6666666666679</v>
      </c>
      <c r="AE19" s="5">
        <f>Revenue!AE9-AE17</f>
        <v>8746.6666666666679</v>
      </c>
      <c r="AF19" s="5">
        <f>Revenue!AF9-AF17</f>
        <v>8746.6666666666679</v>
      </c>
      <c r="AG19" s="5">
        <f>Revenue!AG9-AG17</f>
        <v>8746.6666666666679</v>
      </c>
      <c r="AH19" s="5">
        <f>Revenue!AH9-AH17</f>
        <v>-8133.333333333333</v>
      </c>
      <c r="AI19" s="5">
        <f>Revenue!AI9-AI17</f>
        <v>-8133.333333333333</v>
      </c>
      <c r="AJ19" s="5">
        <f>Revenue!AJ9-AJ17</f>
        <v>16386.666666666664</v>
      </c>
      <c r="AK19" s="5">
        <f>Revenue!AK9-AK17</f>
        <v>16386.666666666664</v>
      </c>
      <c r="AL19" s="5">
        <f>Revenue!AL9-AL17</f>
        <v>8746.6666666666679</v>
      </c>
      <c r="AM19" s="5">
        <f>Revenue!AM9-AM17</f>
        <v>1106.6666666666679</v>
      </c>
    </row>
    <row r="20" spans="3:39" ht="23.1" customHeight="1">
      <c r="C20" s="4" t="s">
        <v>135</v>
      </c>
      <c r="D20" s="5">
        <f>Assumptions!$E$31</f>
        <v>160</v>
      </c>
      <c r="E20" s="5">
        <f>Assumptions!$E$31</f>
        <v>160</v>
      </c>
      <c r="F20" s="5">
        <f>Assumptions!$E$31</f>
        <v>160</v>
      </c>
      <c r="G20" s="5">
        <f>Assumptions!$E$31</f>
        <v>160</v>
      </c>
      <c r="H20" s="5">
        <f>Assumptions!$E$31</f>
        <v>160</v>
      </c>
      <c r="I20" s="5">
        <f>Assumptions!$E$31</f>
        <v>160</v>
      </c>
      <c r="J20" s="5">
        <f>Assumptions!$E$31</f>
        <v>160</v>
      </c>
      <c r="K20" s="5">
        <f>Assumptions!$E$31</f>
        <v>160</v>
      </c>
      <c r="L20" s="5">
        <f>Assumptions!$E$31</f>
        <v>160</v>
      </c>
      <c r="M20" s="5">
        <f>Assumptions!$E$31</f>
        <v>160</v>
      </c>
      <c r="N20" s="5">
        <f>Assumptions!$E$31</f>
        <v>160</v>
      </c>
      <c r="O20" s="5">
        <f>Assumptions!$E$31</f>
        <v>160</v>
      </c>
      <c r="P20" s="5">
        <f>Assumptions!$E$31</f>
        <v>160</v>
      </c>
      <c r="Q20" s="5">
        <f>Assumptions!$E$31</f>
        <v>160</v>
      </c>
      <c r="R20" s="5">
        <f>Assumptions!$E$31</f>
        <v>160</v>
      </c>
      <c r="S20" s="5">
        <f>Assumptions!$E$31</f>
        <v>160</v>
      </c>
      <c r="T20" s="5">
        <f>Assumptions!$E$31</f>
        <v>160</v>
      </c>
      <c r="U20" s="5">
        <f>Assumptions!$E$31</f>
        <v>160</v>
      </c>
      <c r="V20" s="5">
        <f>Assumptions!$E$31</f>
        <v>160</v>
      </c>
      <c r="W20" s="5">
        <f>Assumptions!$E$31</f>
        <v>160</v>
      </c>
      <c r="X20" s="5">
        <f>Assumptions!$E$31</f>
        <v>160</v>
      </c>
      <c r="Y20" s="5">
        <f>Assumptions!$E$31</f>
        <v>160</v>
      </c>
      <c r="Z20" s="5">
        <f>Assumptions!$E$31</f>
        <v>160</v>
      </c>
      <c r="AA20" s="5">
        <f>Assumptions!$E$31</f>
        <v>160</v>
      </c>
      <c r="AB20" s="5">
        <f>Assumptions!$E$31</f>
        <v>160</v>
      </c>
      <c r="AC20" s="5">
        <f>Assumptions!$E$31</f>
        <v>160</v>
      </c>
      <c r="AD20" s="5">
        <f>Assumptions!$E$31</f>
        <v>160</v>
      </c>
      <c r="AE20" s="5">
        <f>Assumptions!$E$31</f>
        <v>160</v>
      </c>
      <c r="AF20" s="5">
        <f>Assumptions!$E$31</f>
        <v>160</v>
      </c>
      <c r="AG20" s="5">
        <f>Assumptions!$E$31</f>
        <v>160</v>
      </c>
      <c r="AH20" s="5">
        <f>Assumptions!$E$31</f>
        <v>160</v>
      </c>
      <c r="AI20" s="5">
        <f>Assumptions!$E$31</f>
        <v>160</v>
      </c>
      <c r="AJ20" s="5">
        <f>Assumptions!$E$31</f>
        <v>160</v>
      </c>
      <c r="AK20" s="5">
        <f>Assumptions!$E$31</f>
        <v>160</v>
      </c>
      <c r="AL20" s="5">
        <f>Assumptions!$E$31</f>
        <v>160</v>
      </c>
      <c r="AM20" s="5">
        <f>Assumptions!$E$31</f>
        <v>160</v>
      </c>
    </row>
    <row r="21" spans="3:39" ht="23.1" customHeight="1">
      <c r="C21" s="4" t="s">
        <v>136</v>
      </c>
      <c r="D21" s="5">
        <f>MAX(0,Assumptions!$E$30-Assumptions!$E$31)</f>
        <v>80</v>
      </c>
      <c r="E21" s="5">
        <f>MAX(0,Assumptions!$E$30-Assumptions!$E$31)</f>
        <v>80</v>
      </c>
      <c r="F21" s="5">
        <f>MAX(0,Assumptions!$E$30-Assumptions!$E$31)</f>
        <v>80</v>
      </c>
      <c r="G21" s="5">
        <f>MAX(0,Assumptions!$E$30-Assumptions!$E$31)</f>
        <v>80</v>
      </c>
      <c r="H21" s="5">
        <f>MAX(0,Assumptions!$E$30-Assumptions!$E$31)</f>
        <v>80</v>
      </c>
      <c r="I21" s="5">
        <f>MAX(0,Assumptions!$E$30-Assumptions!$E$31)</f>
        <v>80</v>
      </c>
      <c r="J21" s="5">
        <f>MAX(0,Assumptions!$E$30-Assumptions!$E$31)</f>
        <v>80</v>
      </c>
      <c r="K21" s="5">
        <f>MAX(0,Assumptions!$E$30-Assumptions!$E$31)</f>
        <v>80</v>
      </c>
      <c r="L21" s="5">
        <f>MAX(0,Assumptions!$E$30-Assumptions!$E$31)</f>
        <v>80</v>
      </c>
      <c r="M21" s="5">
        <f>MAX(0,Assumptions!$E$30-Assumptions!$E$31)</f>
        <v>80</v>
      </c>
      <c r="N21" s="5">
        <f>MAX(0,Assumptions!$E$30-Assumptions!$E$31)</f>
        <v>80</v>
      </c>
      <c r="O21" s="5">
        <f>MAX(0,Assumptions!$E$30-Assumptions!$E$31)</f>
        <v>80</v>
      </c>
      <c r="P21" s="5">
        <f>MAX(0,Assumptions!$E$30-Assumptions!$E$31)</f>
        <v>80</v>
      </c>
      <c r="Q21" s="5">
        <f>MAX(0,Assumptions!$E$30-Assumptions!$E$31)</f>
        <v>80</v>
      </c>
      <c r="R21" s="5">
        <f>MAX(0,Assumptions!$E$30-Assumptions!$E$31)</f>
        <v>80</v>
      </c>
      <c r="S21" s="5">
        <f>MAX(0,Assumptions!$E$30-Assumptions!$E$31)</f>
        <v>80</v>
      </c>
      <c r="T21" s="5">
        <f>MAX(0,Assumptions!$E$30-Assumptions!$E$31)</f>
        <v>80</v>
      </c>
      <c r="U21" s="5">
        <f>MAX(0,Assumptions!$E$30-Assumptions!$E$31)</f>
        <v>80</v>
      </c>
      <c r="V21" s="5">
        <f>MAX(0,Assumptions!$E$30-Assumptions!$E$31)</f>
        <v>80</v>
      </c>
      <c r="W21" s="5">
        <f>MAX(0,Assumptions!$E$30-Assumptions!$E$31)</f>
        <v>80</v>
      </c>
      <c r="X21" s="5">
        <f>MAX(0,Assumptions!$E$30-Assumptions!$E$31)</f>
        <v>80</v>
      </c>
      <c r="Y21" s="5">
        <f>MAX(0,Assumptions!$E$30-Assumptions!$E$31)</f>
        <v>80</v>
      </c>
      <c r="Z21" s="5">
        <f>MAX(0,Assumptions!$E$30-Assumptions!$E$31)</f>
        <v>80</v>
      </c>
      <c r="AA21" s="5">
        <f>MAX(0,Assumptions!$E$30-Assumptions!$E$31)</f>
        <v>80</v>
      </c>
      <c r="AB21" s="5">
        <f>MAX(0,Assumptions!$E$30-Assumptions!$E$31)</f>
        <v>80</v>
      </c>
      <c r="AC21" s="5">
        <f>MAX(0,Assumptions!$E$30-Assumptions!$E$31)</f>
        <v>80</v>
      </c>
      <c r="AD21" s="5">
        <f>MAX(0,Assumptions!$E$30-Assumptions!$E$31)</f>
        <v>80</v>
      </c>
      <c r="AE21" s="5">
        <f>MAX(0,Assumptions!$E$30-Assumptions!$E$31)</f>
        <v>80</v>
      </c>
      <c r="AF21" s="5">
        <f>MAX(0,Assumptions!$E$30-Assumptions!$E$31)</f>
        <v>80</v>
      </c>
      <c r="AG21" s="5">
        <f>MAX(0,Assumptions!$E$30-Assumptions!$E$31)</f>
        <v>80</v>
      </c>
      <c r="AH21" s="5">
        <f>MAX(0,Assumptions!$E$30-Assumptions!$E$31)</f>
        <v>80</v>
      </c>
      <c r="AI21" s="5">
        <f>MAX(0,Assumptions!$E$30-Assumptions!$E$31)</f>
        <v>80</v>
      </c>
      <c r="AJ21" s="5">
        <f>MAX(0,Assumptions!$E$30-Assumptions!$E$31)</f>
        <v>80</v>
      </c>
      <c r="AK21" s="5">
        <f>MAX(0,Assumptions!$E$30-Assumptions!$E$31)</f>
        <v>80</v>
      </c>
      <c r="AL21" s="5">
        <f>MAX(0,Assumptions!$E$30-Assumptions!$E$31)</f>
        <v>80</v>
      </c>
      <c r="AM21" s="5">
        <f>MAX(0,Assumptions!$E$30-Assumptions!$E$31)</f>
        <v>80</v>
      </c>
    </row>
    <row r="22" spans="3:39" ht="23.1" customHeight="1">
      <c r="C22" s="4" t="s">
        <v>137</v>
      </c>
      <c r="D22" s="5">
        <f>Assumptions!$E$32</f>
        <v>160</v>
      </c>
      <c r="E22" s="5">
        <f>Assumptions!$E$32</f>
        <v>160</v>
      </c>
      <c r="F22" s="5">
        <f>Assumptions!$E$32</f>
        <v>160</v>
      </c>
      <c r="G22" s="5">
        <f>Assumptions!$E$32</f>
        <v>160</v>
      </c>
      <c r="H22" s="5">
        <f>Assumptions!$E$32</f>
        <v>160</v>
      </c>
      <c r="I22" s="5">
        <f>Assumptions!$E$32</f>
        <v>160</v>
      </c>
      <c r="J22" s="5">
        <f>Assumptions!$E$32</f>
        <v>160</v>
      </c>
      <c r="K22" s="5">
        <f>Assumptions!$E$32</f>
        <v>160</v>
      </c>
      <c r="L22" s="5">
        <f>Assumptions!$E$32</f>
        <v>160</v>
      </c>
      <c r="M22" s="5">
        <f>Assumptions!$E$32</f>
        <v>160</v>
      </c>
      <c r="N22" s="5">
        <f>Assumptions!$E$32</f>
        <v>160</v>
      </c>
      <c r="O22" s="5">
        <f>Assumptions!$E$32</f>
        <v>160</v>
      </c>
      <c r="P22" s="5">
        <f>Assumptions!$E$32</f>
        <v>160</v>
      </c>
      <c r="Q22" s="5">
        <f>Assumptions!$E$32</f>
        <v>160</v>
      </c>
      <c r="R22" s="5">
        <f>Assumptions!$E$32</f>
        <v>160</v>
      </c>
      <c r="S22" s="5">
        <f>Assumptions!$E$32</f>
        <v>160</v>
      </c>
      <c r="T22" s="5">
        <f>Assumptions!$E$32</f>
        <v>160</v>
      </c>
      <c r="U22" s="5">
        <f>Assumptions!$E$32</f>
        <v>160</v>
      </c>
      <c r="V22" s="5">
        <f>Assumptions!$E$32</f>
        <v>160</v>
      </c>
      <c r="W22" s="5">
        <f>Assumptions!$E$32</f>
        <v>160</v>
      </c>
      <c r="X22" s="5">
        <f>Assumptions!$E$32</f>
        <v>160</v>
      </c>
      <c r="Y22" s="5">
        <f>Assumptions!$E$32</f>
        <v>160</v>
      </c>
      <c r="Z22" s="5">
        <f>Assumptions!$E$32</f>
        <v>160</v>
      </c>
      <c r="AA22" s="5">
        <f>Assumptions!$E$32</f>
        <v>160</v>
      </c>
      <c r="AB22" s="5">
        <f>Assumptions!$E$32</f>
        <v>160</v>
      </c>
      <c r="AC22" s="5">
        <f>Assumptions!$E$32</f>
        <v>160</v>
      </c>
      <c r="AD22" s="5">
        <f>Assumptions!$E$32</f>
        <v>160</v>
      </c>
      <c r="AE22" s="5">
        <f>Assumptions!$E$32</f>
        <v>160</v>
      </c>
      <c r="AF22" s="5">
        <f>Assumptions!$E$32</f>
        <v>160</v>
      </c>
      <c r="AG22" s="5">
        <f>Assumptions!$E$32</f>
        <v>160</v>
      </c>
      <c r="AH22" s="5">
        <f>Assumptions!$E$32</f>
        <v>160</v>
      </c>
      <c r="AI22" s="5">
        <f>Assumptions!$E$32</f>
        <v>160</v>
      </c>
      <c r="AJ22" s="5">
        <f>Assumptions!$E$32</f>
        <v>160</v>
      </c>
      <c r="AK22" s="5">
        <f>Assumptions!$E$32</f>
        <v>160</v>
      </c>
      <c r="AL22" s="5">
        <f>Assumptions!$E$32</f>
        <v>160</v>
      </c>
      <c r="AM22" s="5">
        <f>Assumptions!$E$32</f>
        <v>160</v>
      </c>
    </row>
    <row r="23" spans="3:39" ht="23.1" customHeight="1"/>
    <row r="24" spans="3:39" ht="23.1" customHeight="1"/>
    <row r="25" spans="3:39" ht="23.1" customHeight="1"/>
    <row r="26" spans="3:39" ht="23.1" customHeight="1"/>
    <row r="27" spans="3:39" ht="23.1" customHeight="1"/>
    <row r="28" spans="3:39" ht="23.1" customHeight="1"/>
    <row r="29" spans="3:39" ht="23.1" customHeight="1"/>
    <row r="30" spans="3:39" ht="30" customHeight="1">
      <c r="C30" s="3" t="s">
        <v>28</v>
      </c>
      <c r="D30" s="10">
        <v>46388</v>
      </c>
      <c r="E30" s="10">
        <v>46419</v>
      </c>
      <c r="F30" s="10">
        <v>46447</v>
      </c>
      <c r="G30" s="10">
        <v>46478</v>
      </c>
      <c r="H30" s="10">
        <v>46508</v>
      </c>
      <c r="I30" s="10">
        <v>46539</v>
      </c>
      <c r="J30" s="10">
        <v>46569</v>
      </c>
      <c r="K30" s="10">
        <v>46600</v>
      </c>
      <c r="L30" s="10">
        <v>46631</v>
      </c>
      <c r="M30" s="10">
        <v>46661</v>
      </c>
      <c r="N30" s="10">
        <v>46692</v>
      </c>
      <c r="O30" s="10">
        <v>46722</v>
      </c>
      <c r="P30" s="10">
        <v>46753</v>
      </c>
      <c r="Q30" s="10">
        <v>46784</v>
      </c>
      <c r="R30" s="10">
        <v>46813</v>
      </c>
      <c r="S30" s="10">
        <v>46844</v>
      </c>
      <c r="T30" s="10">
        <v>46874</v>
      </c>
      <c r="U30" s="10">
        <v>46905</v>
      </c>
      <c r="V30" s="10">
        <v>46935</v>
      </c>
      <c r="W30" s="10">
        <v>46966</v>
      </c>
      <c r="X30" s="10">
        <v>46997</v>
      </c>
      <c r="Y30" s="10">
        <v>47027</v>
      </c>
      <c r="Z30" s="10">
        <v>47058</v>
      </c>
      <c r="AA30" s="10">
        <v>47088</v>
      </c>
      <c r="AB30" s="10">
        <v>47119</v>
      </c>
      <c r="AC30" s="10">
        <v>47150</v>
      </c>
      <c r="AD30" s="10">
        <v>47178</v>
      </c>
      <c r="AE30" s="10">
        <v>47209</v>
      </c>
      <c r="AF30" s="10">
        <v>47239</v>
      </c>
      <c r="AG30" s="10">
        <v>47270</v>
      </c>
      <c r="AH30" s="10">
        <v>47300</v>
      </c>
      <c r="AI30" s="10">
        <v>47331</v>
      </c>
      <c r="AJ30" s="10">
        <v>47362</v>
      </c>
      <c r="AK30" s="10">
        <v>47392</v>
      </c>
      <c r="AL30" s="10">
        <v>47423</v>
      </c>
      <c r="AM30" s="10">
        <v>47453</v>
      </c>
    </row>
    <row r="31" spans="3:39" ht="23.1" customHeight="1">
      <c r="C31" s="4" t="s">
        <v>124</v>
      </c>
      <c r="D31" s="5">
        <f>Revenue!D26*(Assumptions!$F$17*Assumptions!$F$19+Assumptions!$F$18*Assumptions!$F$20)</f>
        <v>0</v>
      </c>
      <c r="E31" s="5">
        <f>Revenue!E26*(Assumptions!$F$17*Assumptions!$F$19+Assumptions!$F$18*Assumptions!$F$20)</f>
        <v>0</v>
      </c>
      <c r="F31" s="5">
        <f>Revenue!F26*(Assumptions!$F$17*Assumptions!$F$19+Assumptions!$F$18*Assumptions!$F$20)</f>
        <v>0</v>
      </c>
      <c r="G31" s="5">
        <f>Revenue!G26*(Assumptions!$F$17*Assumptions!$F$19+Assumptions!$F$18*Assumptions!$F$20)</f>
        <v>0</v>
      </c>
      <c r="H31" s="5">
        <f>Revenue!H26*(Assumptions!$F$17*Assumptions!$F$19+Assumptions!$F$18*Assumptions!$F$20)</f>
        <v>3150</v>
      </c>
      <c r="I31" s="5">
        <f>Revenue!I26*(Assumptions!$F$17*Assumptions!$F$19+Assumptions!$F$18*Assumptions!$F$20)</f>
        <v>0</v>
      </c>
      <c r="J31" s="5">
        <f>Revenue!J26*(Assumptions!$F$17*Assumptions!$F$19+Assumptions!$F$18*Assumptions!$F$20)</f>
        <v>0</v>
      </c>
      <c r="K31" s="5">
        <f>Revenue!K26*(Assumptions!$F$17*Assumptions!$F$19+Assumptions!$F$18*Assumptions!$F$20)</f>
        <v>0</v>
      </c>
      <c r="L31" s="5">
        <f>Revenue!L26*(Assumptions!$F$17*Assumptions!$F$19+Assumptions!$F$18*Assumptions!$F$20)</f>
        <v>0</v>
      </c>
      <c r="M31" s="5">
        <f>Revenue!M26*(Assumptions!$F$17*Assumptions!$F$19+Assumptions!$F$18*Assumptions!$F$20)</f>
        <v>3150</v>
      </c>
      <c r="N31" s="5">
        <f>Revenue!N26*(Assumptions!$F$17*Assumptions!$F$19+Assumptions!$F$18*Assumptions!$F$20)</f>
        <v>0</v>
      </c>
      <c r="O31" s="5">
        <f>Revenue!O26*(Assumptions!$F$17*Assumptions!$F$19+Assumptions!$F$18*Assumptions!$F$20)</f>
        <v>0</v>
      </c>
      <c r="P31" s="5">
        <f>Revenue!P26*(Assumptions!$F$17*Assumptions!$F$19+Assumptions!$F$18*Assumptions!$F$20)</f>
        <v>0</v>
      </c>
      <c r="Q31" s="5">
        <f>Revenue!Q26*(Assumptions!$F$17*Assumptions!$F$19+Assumptions!$F$18*Assumptions!$F$20)</f>
        <v>0</v>
      </c>
      <c r="R31" s="5">
        <f>Revenue!R26*(Assumptions!$F$17*Assumptions!$F$19+Assumptions!$F$18*Assumptions!$F$20)</f>
        <v>0</v>
      </c>
      <c r="S31" s="5">
        <f>Revenue!S26*(Assumptions!$F$17*Assumptions!$F$19+Assumptions!$F$18*Assumptions!$F$20)</f>
        <v>3150</v>
      </c>
      <c r="T31" s="5">
        <f>Revenue!T26*(Assumptions!$F$17*Assumptions!$F$19+Assumptions!$F$18*Assumptions!$F$20)</f>
        <v>0</v>
      </c>
      <c r="U31" s="5">
        <f>Revenue!U26*(Assumptions!$F$17*Assumptions!$F$19+Assumptions!$F$18*Assumptions!$F$20)</f>
        <v>3150</v>
      </c>
      <c r="V31" s="5">
        <f>Revenue!V26*(Assumptions!$F$17*Assumptions!$F$19+Assumptions!$F$18*Assumptions!$F$20)</f>
        <v>0</v>
      </c>
      <c r="W31" s="5">
        <f>Revenue!W26*(Assumptions!$F$17*Assumptions!$F$19+Assumptions!$F$18*Assumptions!$F$20)</f>
        <v>0</v>
      </c>
      <c r="X31" s="5">
        <f>Revenue!X26*(Assumptions!$F$17*Assumptions!$F$19+Assumptions!$F$18*Assumptions!$F$20)</f>
        <v>3150</v>
      </c>
      <c r="Y31" s="5">
        <f>Revenue!Y26*(Assumptions!$F$17*Assumptions!$F$19+Assumptions!$F$18*Assumptions!$F$20)</f>
        <v>3150</v>
      </c>
      <c r="Z31" s="5">
        <f>Revenue!Z26*(Assumptions!$F$17*Assumptions!$F$19+Assumptions!$F$18*Assumptions!$F$20)</f>
        <v>0</v>
      </c>
      <c r="AA31" s="5">
        <f>Revenue!AA26*(Assumptions!$F$17*Assumptions!$F$19+Assumptions!$F$18*Assumptions!$F$20)</f>
        <v>0</v>
      </c>
      <c r="AB31" s="5">
        <f>Revenue!AB26*(Assumptions!$F$17*Assumptions!$F$19+Assumptions!$F$18*Assumptions!$F$20)</f>
        <v>0</v>
      </c>
      <c r="AC31" s="5">
        <f>Revenue!AC26*(Assumptions!$F$17*Assumptions!$F$19+Assumptions!$F$18*Assumptions!$F$20)</f>
        <v>0</v>
      </c>
      <c r="AD31" s="5">
        <f>Revenue!AD26*(Assumptions!$F$17*Assumptions!$F$19+Assumptions!$F$18*Assumptions!$F$20)</f>
        <v>3150</v>
      </c>
      <c r="AE31" s="5">
        <f>Revenue!AE26*(Assumptions!$F$17*Assumptions!$F$19+Assumptions!$F$18*Assumptions!$F$20)</f>
        <v>0</v>
      </c>
      <c r="AF31" s="5">
        <f>Revenue!AF26*(Assumptions!$F$17*Assumptions!$F$19+Assumptions!$F$18*Assumptions!$F$20)</f>
        <v>3150</v>
      </c>
      <c r="AG31" s="5">
        <f>Revenue!AG26*(Assumptions!$F$17*Assumptions!$F$19+Assumptions!$F$18*Assumptions!$F$20)</f>
        <v>3150</v>
      </c>
      <c r="AH31" s="5">
        <f>Revenue!AH26*(Assumptions!$F$17*Assumptions!$F$19+Assumptions!$F$18*Assumptions!$F$20)</f>
        <v>0</v>
      </c>
      <c r="AI31" s="5">
        <f>Revenue!AI26*(Assumptions!$F$17*Assumptions!$F$19+Assumptions!$F$18*Assumptions!$F$20)</f>
        <v>0</v>
      </c>
      <c r="AJ31" s="5">
        <f>Revenue!AJ26*(Assumptions!$F$17*Assumptions!$F$19+Assumptions!$F$18*Assumptions!$F$20)</f>
        <v>3150</v>
      </c>
      <c r="AK31" s="5">
        <f>Revenue!AK26*(Assumptions!$F$17*Assumptions!$F$19+Assumptions!$F$18*Assumptions!$F$20)</f>
        <v>3150</v>
      </c>
      <c r="AL31" s="5">
        <f>Revenue!AL26*(Assumptions!$F$17*Assumptions!$F$19+Assumptions!$F$18*Assumptions!$F$20)</f>
        <v>3150</v>
      </c>
      <c r="AM31" s="5">
        <f>Revenue!AM26*(Assumptions!$F$17*Assumptions!$F$19+Assumptions!$F$18*Assumptions!$F$20)</f>
        <v>0</v>
      </c>
    </row>
    <row r="32" spans="3:39" ht="23.1" customHeight="1">
      <c r="C32" s="4" t="s">
        <v>125</v>
      </c>
      <c r="D32" s="5">
        <f>Revenue!D31*Assumptions!$F$15</f>
        <v>0</v>
      </c>
      <c r="E32" s="5">
        <f>Revenue!E31*Assumptions!$F$15</f>
        <v>0</v>
      </c>
      <c r="F32" s="5">
        <f>Revenue!F31*Assumptions!$F$15</f>
        <v>0</v>
      </c>
      <c r="G32" s="5">
        <f>Revenue!G31*Assumptions!$F$15</f>
        <v>0</v>
      </c>
      <c r="H32" s="5">
        <f>Revenue!H31*Assumptions!$F$15</f>
        <v>7200</v>
      </c>
      <c r="I32" s="5">
        <f>Revenue!I31*Assumptions!$F$15</f>
        <v>0</v>
      </c>
      <c r="J32" s="5">
        <f>Revenue!J31*Assumptions!$F$15</f>
        <v>0</v>
      </c>
      <c r="K32" s="5">
        <f>Revenue!K31*Assumptions!$F$15</f>
        <v>0</v>
      </c>
      <c r="L32" s="5">
        <f>Revenue!L31*Assumptions!$F$15</f>
        <v>0</v>
      </c>
      <c r="M32" s="5">
        <f>Revenue!M31*Assumptions!$F$15</f>
        <v>7200</v>
      </c>
      <c r="N32" s="5">
        <f>Revenue!N31*Assumptions!$F$15</f>
        <v>0</v>
      </c>
      <c r="O32" s="5">
        <f>Revenue!O31*Assumptions!$F$15</f>
        <v>0</v>
      </c>
      <c r="P32" s="5">
        <f>Revenue!P31*Assumptions!$F$15</f>
        <v>0</v>
      </c>
      <c r="Q32" s="5">
        <f>Revenue!Q31*Assumptions!$F$15</f>
        <v>0</v>
      </c>
      <c r="R32" s="5">
        <f>Revenue!R31*Assumptions!$F$15</f>
        <v>0</v>
      </c>
      <c r="S32" s="5">
        <f>Revenue!S31*Assumptions!$F$15</f>
        <v>7200</v>
      </c>
      <c r="T32" s="5">
        <f>Revenue!T31*Assumptions!$F$15</f>
        <v>0</v>
      </c>
      <c r="U32" s="5">
        <f>Revenue!U31*Assumptions!$F$15</f>
        <v>7200</v>
      </c>
      <c r="V32" s="5">
        <f>Revenue!V31*Assumptions!$F$15</f>
        <v>0</v>
      </c>
      <c r="W32" s="5">
        <f>Revenue!W31*Assumptions!$F$15</f>
        <v>0</v>
      </c>
      <c r="X32" s="5">
        <f>Revenue!X31*Assumptions!$F$15</f>
        <v>7200</v>
      </c>
      <c r="Y32" s="5">
        <f>Revenue!Y31*Assumptions!$F$15</f>
        <v>7200</v>
      </c>
      <c r="Z32" s="5">
        <f>Revenue!Z31*Assumptions!$F$15</f>
        <v>0</v>
      </c>
      <c r="AA32" s="5">
        <f>Revenue!AA31*Assumptions!$F$15</f>
        <v>0</v>
      </c>
      <c r="AB32" s="5">
        <f>Revenue!AB31*Assumptions!$F$15</f>
        <v>0</v>
      </c>
      <c r="AC32" s="5">
        <f>Revenue!AC31*Assumptions!$F$15</f>
        <v>0</v>
      </c>
      <c r="AD32" s="5">
        <f>Revenue!AD31*Assumptions!$F$15</f>
        <v>7200</v>
      </c>
      <c r="AE32" s="5">
        <f>Revenue!AE31*Assumptions!$F$15</f>
        <v>0</v>
      </c>
      <c r="AF32" s="5">
        <f>Revenue!AF31*Assumptions!$F$15</f>
        <v>7200</v>
      </c>
      <c r="AG32" s="5">
        <f>Revenue!AG31*Assumptions!$F$15</f>
        <v>7200</v>
      </c>
      <c r="AH32" s="5">
        <f>Revenue!AH31*Assumptions!$F$15</f>
        <v>0</v>
      </c>
      <c r="AI32" s="5">
        <f>Revenue!AI31*Assumptions!$F$15</f>
        <v>0</v>
      </c>
      <c r="AJ32" s="5">
        <f>Revenue!AJ31*Assumptions!$F$15</f>
        <v>7200</v>
      </c>
      <c r="AK32" s="5">
        <f>Revenue!AK31*Assumptions!$F$15</f>
        <v>7200</v>
      </c>
      <c r="AL32" s="5">
        <f>Revenue!AL31*Assumptions!$F$15</f>
        <v>7200</v>
      </c>
      <c r="AM32" s="5">
        <f>Revenue!AM31*Assumptions!$F$15</f>
        <v>0</v>
      </c>
    </row>
    <row r="33" spans="3:39" ht="23.1" customHeight="1">
      <c r="C33" s="4" t="s">
        <v>126</v>
      </c>
      <c r="D33" s="5">
        <f>Revenue!D32*Assumptions!$F$16</f>
        <v>0</v>
      </c>
      <c r="E33" s="5">
        <f>Revenue!E32*Assumptions!$F$16</f>
        <v>0</v>
      </c>
      <c r="F33" s="5">
        <f>Revenue!F32*Assumptions!$F$16</f>
        <v>0</v>
      </c>
      <c r="G33" s="5">
        <f>Revenue!G32*Assumptions!$F$16</f>
        <v>0</v>
      </c>
      <c r="H33" s="5">
        <f>Revenue!H32*Assumptions!$F$16</f>
        <v>2200</v>
      </c>
      <c r="I33" s="5">
        <f>Revenue!I32*Assumptions!$F$16</f>
        <v>0</v>
      </c>
      <c r="J33" s="5">
        <f>Revenue!J32*Assumptions!$F$16</f>
        <v>0</v>
      </c>
      <c r="K33" s="5">
        <f>Revenue!K32*Assumptions!$F$16</f>
        <v>0</v>
      </c>
      <c r="L33" s="5">
        <f>Revenue!L32*Assumptions!$F$16</f>
        <v>0</v>
      </c>
      <c r="M33" s="5">
        <f>Revenue!M32*Assumptions!$F$16</f>
        <v>2200</v>
      </c>
      <c r="N33" s="5">
        <f>Revenue!N32*Assumptions!$F$16</f>
        <v>0</v>
      </c>
      <c r="O33" s="5">
        <f>Revenue!O32*Assumptions!$F$16</f>
        <v>0</v>
      </c>
      <c r="P33" s="5">
        <f>Revenue!P32*Assumptions!$F$16</f>
        <v>0</v>
      </c>
      <c r="Q33" s="5">
        <f>Revenue!Q32*Assumptions!$F$16</f>
        <v>0</v>
      </c>
      <c r="R33" s="5">
        <f>Revenue!R32*Assumptions!$F$16</f>
        <v>0</v>
      </c>
      <c r="S33" s="5">
        <f>Revenue!S32*Assumptions!$F$16</f>
        <v>2200</v>
      </c>
      <c r="T33" s="5">
        <f>Revenue!T32*Assumptions!$F$16</f>
        <v>0</v>
      </c>
      <c r="U33" s="5">
        <f>Revenue!U32*Assumptions!$F$16</f>
        <v>2200</v>
      </c>
      <c r="V33" s="5">
        <f>Revenue!V32*Assumptions!$F$16</f>
        <v>0</v>
      </c>
      <c r="W33" s="5">
        <f>Revenue!W32*Assumptions!$F$16</f>
        <v>0</v>
      </c>
      <c r="X33" s="5">
        <f>Revenue!X32*Assumptions!$F$16</f>
        <v>2200</v>
      </c>
      <c r="Y33" s="5">
        <f>Revenue!Y32*Assumptions!$F$16</f>
        <v>2200</v>
      </c>
      <c r="Z33" s="5">
        <f>Revenue!Z32*Assumptions!$F$16</f>
        <v>0</v>
      </c>
      <c r="AA33" s="5">
        <f>Revenue!AA32*Assumptions!$F$16</f>
        <v>0</v>
      </c>
      <c r="AB33" s="5">
        <f>Revenue!AB32*Assumptions!$F$16</f>
        <v>0</v>
      </c>
      <c r="AC33" s="5">
        <f>Revenue!AC32*Assumptions!$F$16</f>
        <v>0</v>
      </c>
      <c r="AD33" s="5">
        <f>Revenue!AD32*Assumptions!$F$16</f>
        <v>2200</v>
      </c>
      <c r="AE33" s="5">
        <f>Revenue!AE32*Assumptions!$F$16</f>
        <v>0</v>
      </c>
      <c r="AF33" s="5">
        <f>Revenue!AF32*Assumptions!$F$16</f>
        <v>2200</v>
      </c>
      <c r="AG33" s="5">
        <f>Revenue!AG32*Assumptions!$F$16</f>
        <v>2200</v>
      </c>
      <c r="AH33" s="5">
        <f>Revenue!AH32*Assumptions!$F$16</f>
        <v>0</v>
      </c>
      <c r="AI33" s="5">
        <f>Revenue!AI32*Assumptions!$F$16</f>
        <v>0</v>
      </c>
      <c r="AJ33" s="5">
        <f>Revenue!AJ32*Assumptions!$F$16</f>
        <v>2200</v>
      </c>
      <c r="AK33" s="5">
        <f>Revenue!AK32*Assumptions!$F$16</f>
        <v>2200</v>
      </c>
      <c r="AL33" s="5">
        <f>Revenue!AL32*Assumptions!$F$16</f>
        <v>2200</v>
      </c>
      <c r="AM33" s="5">
        <f>Revenue!AM32*Assumptions!$F$16</f>
        <v>0</v>
      </c>
    </row>
    <row r="34" spans="3:39" ht="23.1" customHeight="1">
      <c r="C34" s="4" t="s">
        <v>127</v>
      </c>
      <c r="D34" s="5">
        <f>Revenue!D26*Assumptions!$F$21</f>
        <v>0</v>
      </c>
      <c r="E34" s="5">
        <f>Revenue!E26*Assumptions!$F$21</f>
        <v>0</v>
      </c>
      <c r="F34" s="5">
        <f>Revenue!F26*Assumptions!$F$21</f>
        <v>0</v>
      </c>
      <c r="G34" s="5">
        <f>Revenue!G26*Assumptions!$F$21</f>
        <v>0</v>
      </c>
      <c r="H34" s="5">
        <f>Revenue!H26*Assumptions!$F$21</f>
        <v>800</v>
      </c>
      <c r="I34" s="5">
        <f>Revenue!I26*Assumptions!$F$21</f>
        <v>0</v>
      </c>
      <c r="J34" s="5">
        <f>Revenue!J26*Assumptions!$F$21</f>
        <v>0</v>
      </c>
      <c r="K34" s="5">
        <f>Revenue!K26*Assumptions!$F$21</f>
        <v>0</v>
      </c>
      <c r="L34" s="5">
        <f>Revenue!L26*Assumptions!$F$21</f>
        <v>0</v>
      </c>
      <c r="M34" s="5">
        <f>Revenue!M26*Assumptions!$F$21</f>
        <v>800</v>
      </c>
      <c r="N34" s="5">
        <f>Revenue!N26*Assumptions!$F$21</f>
        <v>0</v>
      </c>
      <c r="O34" s="5">
        <f>Revenue!O26*Assumptions!$F$21</f>
        <v>0</v>
      </c>
      <c r="P34" s="5">
        <f>Revenue!P26*Assumptions!$F$21</f>
        <v>0</v>
      </c>
      <c r="Q34" s="5">
        <f>Revenue!Q26*Assumptions!$F$21</f>
        <v>0</v>
      </c>
      <c r="R34" s="5">
        <f>Revenue!R26*Assumptions!$F$21</f>
        <v>0</v>
      </c>
      <c r="S34" s="5">
        <f>Revenue!S26*Assumptions!$F$21</f>
        <v>800</v>
      </c>
      <c r="T34" s="5">
        <f>Revenue!T26*Assumptions!$F$21</f>
        <v>0</v>
      </c>
      <c r="U34" s="5">
        <f>Revenue!U26*Assumptions!$F$21</f>
        <v>800</v>
      </c>
      <c r="V34" s="5">
        <f>Revenue!V26*Assumptions!$F$21</f>
        <v>0</v>
      </c>
      <c r="W34" s="5">
        <f>Revenue!W26*Assumptions!$F$21</f>
        <v>0</v>
      </c>
      <c r="X34" s="5">
        <f>Revenue!X26*Assumptions!$F$21</f>
        <v>800</v>
      </c>
      <c r="Y34" s="5">
        <f>Revenue!Y26*Assumptions!$F$21</f>
        <v>800</v>
      </c>
      <c r="Z34" s="5">
        <f>Revenue!Z26*Assumptions!$F$21</f>
        <v>0</v>
      </c>
      <c r="AA34" s="5">
        <f>Revenue!AA26*Assumptions!$F$21</f>
        <v>0</v>
      </c>
      <c r="AB34" s="5">
        <f>Revenue!AB26*Assumptions!$F$21</f>
        <v>0</v>
      </c>
      <c r="AC34" s="5">
        <f>Revenue!AC26*Assumptions!$F$21</f>
        <v>0</v>
      </c>
      <c r="AD34" s="5">
        <f>Revenue!AD26*Assumptions!$F$21</f>
        <v>800</v>
      </c>
      <c r="AE34" s="5">
        <f>Revenue!AE26*Assumptions!$F$21</f>
        <v>0</v>
      </c>
      <c r="AF34" s="5">
        <f>Revenue!AF26*Assumptions!$F$21</f>
        <v>800</v>
      </c>
      <c r="AG34" s="5">
        <f>Revenue!AG26*Assumptions!$F$21</f>
        <v>800</v>
      </c>
      <c r="AH34" s="5">
        <f>Revenue!AH26*Assumptions!$F$21</f>
        <v>0</v>
      </c>
      <c r="AI34" s="5">
        <f>Revenue!AI26*Assumptions!$F$21</f>
        <v>0</v>
      </c>
      <c r="AJ34" s="5">
        <f>Revenue!AJ26*Assumptions!$F$21</f>
        <v>800</v>
      </c>
      <c r="AK34" s="5">
        <f>Revenue!AK26*Assumptions!$F$21</f>
        <v>800</v>
      </c>
      <c r="AL34" s="5">
        <f>Revenue!AL26*Assumptions!$F$21</f>
        <v>800</v>
      </c>
      <c r="AM34" s="5">
        <f>Revenue!AM26*Assumptions!$F$21</f>
        <v>0</v>
      </c>
    </row>
    <row r="35" spans="3:39" ht="23.1" customHeight="1">
      <c r="C35" s="4" t="s">
        <v>128</v>
      </c>
      <c r="D35" s="11">
        <f t="shared" ref="D35:AM35" si="3">SUM(D31:D34)</f>
        <v>0</v>
      </c>
      <c r="E35" s="11">
        <f t="shared" si="3"/>
        <v>0</v>
      </c>
      <c r="F35" s="11">
        <f t="shared" si="3"/>
        <v>0</v>
      </c>
      <c r="G35" s="11">
        <f t="shared" si="3"/>
        <v>0</v>
      </c>
      <c r="H35" s="11">
        <f t="shared" si="3"/>
        <v>13350</v>
      </c>
      <c r="I35" s="11">
        <f t="shared" si="3"/>
        <v>0</v>
      </c>
      <c r="J35" s="11">
        <f t="shared" si="3"/>
        <v>0</v>
      </c>
      <c r="K35" s="11">
        <f t="shared" si="3"/>
        <v>0</v>
      </c>
      <c r="L35" s="11">
        <f t="shared" si="3"/>
        <v>0</v>
      </c>
      <c r="M35" s="11">
        <f t="shared" si="3"/>
        <v>13350</v>
      </c>
      <c r="N35" s="11">
        <f t="shared" si="3"/>
        <v>0</v>
      </c>
      <c r="O35" s="11">
        <f t="shared" si="3"/>
        <v>0</v>
      </c>
      <c r="P35" s="11">
        <f t="shared" si="3"/>
        <v>0</v>
      </c>
      <c r="Q35" s="11">
        <f t="shared" si="3"/>
        <v>0</v>
      </c>
      <c r="R35" s="11">
        <f t="shared" si="3"/>
        <v>0</v>
      </c>
      <c r="S35" s="11">
        <f t="shared" si="3"/>
        <v>13350</v>
      </c>
      <c r="T35" s="11">
        <f t="shared" si="3"/>
        <v>0</v>
      </c>
      <c r="U35" s="11">
        <f t="shared" si="3"/>
        <v>13350</v>
      </c>
      <c r="V35" s="11">
        <f t="shared" si="3"/>
        <v>0</v>
      </c>
      <c r="W35" s="11">
        <f t="shared" si="3"/>
        <v>0</v>
      </c>
      <c r="X35" s="11">
        <f t="shared" si="3"/>
        <v>13350</v>
      </c>
      <c r="Y35" s="11">
        <f t="shared" si="3"/>
        <v>13350</v>
      </c>
      <c r="Z35" s="11">
        <f t="shared" si="3"/>
        <v>0</v>
      </c>
      <c r="AA35" s="11">
        <f t="shared" si="3"/>
        <v>0</v>
      </c>
      <c r="AB35" s="11">
        <f t="shared" si="3"/>
        <v>0</v>
      </c>
      <c r="AC35" s="11">
        <f t="shared" si="3"/>
        <v>0</v>
      </c>
      <c r="AD35" s="11">
        <f t="shared" si="3"/>
        <v>13350</v>
      </c>
      <c r="AE35" s="11">
        <f t="shared" si="3"/>
        <v>0</v>
      </c>
      <c r="AF35" s="11">
        <f t="shared" si="3"/>
        <v>13350</v>
      </c>
      <c r="AG35" s="11">
        <f t="shared" si="3"/>
        <v>13350</v>
      </c>
      <c r="AH35" s="11">
        <f t="shared" si="3"/>
        <v>0</v>
      </c>
      <c r="AI35" s="11">
        <f t="shared" si="3"/>
        <v>0</v>
      </c>
      <c r="AJ35" s="11">
        <f t="shared" si="3"/>
        <v>13350</v>
      </c>
      <c r="AK35" s="11">
        <f t="shared" si="3"/>
        <v>13350</v>
      </c>
      <c r="AL35" s="11">
        <f t="shared" si="3"/>
        <v>13350</v>
      </c>
      <c r="AM35" s="11">
        <f t="shared" si="3"/>
        <v>0</v>
      </c>
    </row>
    <row r="36" spans="3:39" ht="23.1" customHeight="1">
      <c r="C36" s="4" t="s">
        <v>129</v>
      </c>
      <c r="D36" s="5">
        <f>Assumptions!$F$22</f>
        <v>6000</v>
      </c>
      <c r="E36" s="5">
        <f>Assumptions!$F$22</f>
        <v>6000</v>
      </c>
      <c r="F36" s="5">
        <f>Assumptions!$F$22</f>
        <v>6000</v>
      </c>
      <c r="G36" s="5">
        <f>Assumptions!$F$22</f>
        <v>6000</v>
      </c>
      <c r="H36" s="5">
        <f>Assumptions!$F$22</f>
        <v>6000</v>
      </c>
      <c r="I36" s="5">
        <f>Assumptions!$F$22</f>
        <v>6000</v>
      </c>
      <c r="J36" s="5">
        <f>Assumptions!$F$22</f>
        <v>6000</v>
      </c>
      <c r="K36" s="5">
        <f>Assumptions!$F$22</f>
        <v>6000</v>
      </c>
      <c r="L36" s="5">
        <f>Assumptions!$F$22</f>
        <v>6000</v>
      </c>
      <c r="M36" s="5">
        <f>Assumptions!$F$22</f>
        <v>6000</v>
      </c>
      <c r="N36" s="5">
        <f>Assumptions!$F$22</f>
        <v>6000</v>
      </c>
      <c r="O36" s="5">
        <f>Assumptions!$F$22</f>
        <v>6000</v>
      </c>
      <c r="P36" s="5">
        <f>Assumptions!$F$22</f>
        <v>6000</v>
      </c>
      <c r="Q36" s="5">
        <f>Assumptions!$F$22</f>
        <v>6000</v>
      </c>
      <c r="R36" s="5">
        <f>Assumptions!$F$22</f>
        <v>6000</v>
      </c>
      <c r="S36" s="5">
        <f>Assumptions!$F$22</f>
        <v>6000</v>
      </c>
      <c r="T36" s="5">
        <f>Assumptions!$F$22</f>
        <v>6000</v>
      </c>
      <c r="U36" s="5">
        <f>Assumptions!$F$22</f>
        <v>6000</v>
      </c>
      <c r="V36" s="5">
        <f>Assumptions!$F$22</f>
        <v>6000</v>
      </c>
      <c r="W36" s="5">
        <f>Assumptions!$F$22</f>
        <v>6000</v>
      </c>
      <c r="X36" s="5">
        <f>Assumptions!$F$22</f>
        <v>6000</v>
      </c>
      <c r="Y36" s="5">
        <f>Assumptions!$F$22</f>
        <v>6000</v>
      </c>
      <c r="Z36" s="5">
        <f>Assumptions!$F$22</f>
        <v>6000</v>
      </c>
      <c r="AA36" s="5">
        <f>Assumptions!$F$22</f>
        <v>6000</v>
      </c>
      <c r="AB36" s="5">
        <f>Assumptions!$F$22</f>
        <v>6000</v>
      </c>
      <c r="AC36" s="5">
        <f>Assumptions!$F$22</f>
        <v>6000</v>
      </c>
      <c r="AD36" s="5">
        <f>Assumptions!$F$22</f>
        <v>6000</v>
      </c>
      <c r="AE36" s="5">
        <f>Assumptions!$F$22</f>
        <v>6000</v>
      </c>
      <c r="AF36" s="5">
        <f>Assumptions!$F$22</f>
        <v>6000</v>
      </c>
      <c r="AG36" s="5">
        <f>Assumptions!$F$22</f>
        <v>6000</v>
      </c>
      <c r="AH36" s="5">
        <f>Assumptions!$F$22</f>
        <v>6000</v>
      </c>
      <c r="AI36" s="5">
        <f>Assumptions!$F$22</f>
        <v>6000</v>
      </c>
      <c r="AJ36" s="5">
        <f>Assumptions!$F$22</f>
        <v>6000</v>
      </c>
      <c r="AK36" s="5">
        <f>Assumptions!$F$22</f>
        <v>6000</v>
      </c>
      <c r="AL36" s="5">
        <f>Assumptions!$F$22</f>
        <v>6000</v>
      </c>
      <c r="AM36" s="5">
        <f>Assumptions!$F$22</f>
        <v>6000</v>
      </c>
    </row>
    <row r="37" spans="3:39" ht="23.1" customHeight="1">
      <c r="C37" s="4" t="s">
        <v>130</v>
      </c>
      <c r="D37" s="5">
        <f>Assumptions!$F$23</f>
        <v>1800</v>
      </c>
      <c r="E37" s="5">
        <f>Assumptions!$F$23</f>
        <v>1800</v>
      </c>
      <c r="F37" s="5">
        <f>Assumptions!$F$23</f>
        <v>1800</v>
      </c>
      <c r="G37" s="5">
        <f>Assumptions!$F$23</f>
        <v>1800</v>
      </c>
      <c r="H37" s="5">
        <f>Assumptions!$F$23</f>
        <v>1800</v>
      </c>
      <c r="I37" s="5">
        <f>Assumptions!$F$23</f>
        <v>1800</v>
      </c>
      <c r="J37" s="5">
        <f>Assumptions!$F$23</f>
        <v>1800</v>
      </c>
      <c r="K37" s="5">
        <f>Assumptions!$F$23</f>
        <v>1800</v>
      </c>
      <c r="L37" s="5">
        <f>Assumptions!$F$23</f>
        <v>1800</v>
      </c>
      <c r="M37" s="5">
        <f>Assumptions!$F$23</f>
        <v>1800</v>
      </c>
      <c r="N37" s="5">
        <f>Assumptions!$F$23</f>
        <v>1800</v>
      </c>
      <c r="O37" s="5">
        <f>Assumptions!$F$23</f>
        <v>1800</v>
      </c>
      <c r="P37" s="5">
        <f>Assumptions!$F$23</f>
        <v>1800</v>
      </c>
      <c r="Q37" s="5">
        <f>Assumptions!$F$23</f>
        <v>1800</v>
      </c>
      <c r="R37" s="5">
        <f>Assumptions!$F$23</f>
        <v>1800</v>
      </c>
      <c r="S37" s="5">
        <f>Assumptions!$F$23</f>
        <v>1800</v>
      </c>
      <c r="T37" s="5">
        <f>Assumptions!$F$23</f>
        <v>1800</v>
      </c>
      <c r="U37" s="5">
        <f>Assumptions!$F$23</f>
        <v>1800</v>
      </c>
      <c r="V37" s="5">
        <f>Assumptions!$F$23</f>
        <v>1800</v>
      </c>
      <c r="W37" s="5">
        <f>Assumptions!$F$23</f>
        <v>1800</v>
      </c>
      <c r="X37" s="5">
        <f>Assumptions!$F$23</f>
        <v>1800</v>
      </c>
      <c r="Y37" s="5">
        <f>Assumptions!$F$23</f>
        <v>1800</v>
      </c>
      <c r="Z37" s="5">
        <f>Assumptions!$F$23</f>
        <v>1800</v>
      </c>
      <c r="AA37" s="5">
        <f>Assumptions!$F$23</f>
        <v>1800</v>
      </c>
      <c r="AB37" s="5">
        <f>Assumptions!$F$23</f>
        <v>1800</v>
      </c>
      <c r="AC37" s="5">
        <f>Assumptions!$F$23</f>
        <v>1800</v>
      </c>
      <c r="AD37" s="5">
        <f>Assumptions!$F$23</f>
        <v>1800</v>
      </c>
      <c r="AE37" s="5">
        <f>Assumptions!$F$23</f>
        <v>1800</v>
      </c>
      <c r="AF37" s="5">
        <f>Assumptions!$F$23</f>
        <v>1800</v>
      </c>
      <c r="AG37" s="5">
        <f>Assumptions!$F$23</f>
        <v>1800</v>
      </c>
      <c r="AH37" s="5">
        <f>Assumptions!$F$23</f>
        <v>1800</v>
      </c>
      <c r="AI37" s="5">
        <f>Assumptions!$F$23</f>
        <v>1800</v>
      </c>
      <c r="AJ37" s="5">
        <f>Assumptions!$F$23</f>
        <v>1800</v>
      </c>
      <c r="AK37" s="5">
        <f>Assumptions!$F$23</f>
        <v>1800</v>
      </c>
      <c r="AL37" s="5">
        <f>Assumptions!$F$23</f>
        <v>1800</v>
      </c>
      <c r="AM37" s="5">
        <f>Assumptions!$F$23</f>
        <v>1800</v>
      </c>
    </row>
    <row r="38" spans="3:39" ht="23.1" customHeight="1">
      <c r="C38" s="4" t="s">
        <v>100</v>
      </c>
      <c r="D38" s="5">
        <f>Revenue!D27*Assumptions!$F$29</f>
        <v>0</v>
      </c>
      <c r="E38" s="5">
        <f>Revenue!E27*Assumptions!$F$29</f>
        <v>0</v>
      </c>
      <c r="F38" s="5">
        <f>Revenue!F27*Assumptions!$F$29</f>
        <v>0</v>
      </c>
      <c r="G38" s="5">
        <f>Revenue!G27*Assumptions!$F$29</f>
        <v>0</v>
      </c>
      <c r="H38" s="5">
        <f>Revenue!H27*Assumptions!$F$29</f>
        <v>450</v>
      </c>
      <c r="I38" s="5">
        <f>Revenue!I27*Assumptions!$F$29</f>
        <v>0</v>
      </c>
      <c r="J38" s="5">
        <f>Revenue!J27*Assumptions!$F$29</f>
        <v>0</v>
      </c>
      <c r="K38" s="5">
        <f>Revenue!K27*Assumptions!$F$29</f>
        <v>0</v>
      </c>
      <c r="L38" s="5">
        <f>Revenue!L27*Assumptions!$F$29</f>
        <v>0</v>
      </c>
      <c r="M38" s="5">
        <f>Revenue!M27*Assumptions!$F$29</f>
        <v>450</v>
      </c>
      <c r="N38" s="5">
        <f>Revenue!N27*Assumptions!$F$29</f>
        <v>0</v>
      </c>
      <c r="O38" s="5">
        <f>Revenue!O27*Assumptions!$F$29</f>
        <v>0</v>
      </c>
      <c r="P38" s="5">
        <f>Revenue!P27*Assumptions!$F$29</f>
        <v>0</v>
      </c>
      <c r="Q38" s="5">
        <f>Revenue!Q27*Assumptions!$F$29</f>
        <v>0</v>
      </c>
      <c r="R38" s="5">
        <f>Revenue!R27*Assumptions!$F$29</f>
        <v>0</v>
      </c>
      <c r="S38" s="5">
        <f>Revenue!S27*Assumptions!$F$29</f>
        <v>450</v>
      </c>
      <c r="T38" s="5">
        <f>Revenue!T27*Assumptions!$F$29</f>
        <v>0</v>
      </c>
      <c r="U38" s="5">
        <f>Revenue!U27*Assumptions!$F$29</f>
        <v>450</v>
      </c>
      <c r="V38" s="5">
        <f>Revenue!V27*Assumptions!$F$29</f>
        <v>0</v>
      </c>
      <c r="W38" s="5">
        <f>Revenue!W27*Assumptions!$F$29</f>
        <v>0</v>
      </c>
      <c r="X38" s="5">
        <f>Revenue!X27*Assumptions!$F$29</f>
        <v>450</v>
      </c>
      <c r="Y38" s="5">
        <f>Revenue!Y27*Assumptions!$F$29</f>
        <v>450</v>
      </c>
      <c r="Z38" s="5">
        <f>Revenue!Z27*Assumptions!$F$29</f>
        <v>0</v>
      </c>
      <c r="AA38" s="5">
        <f>Revenue!AA27*Assumptions!$F$29</f>
        <v>0</v>
      </c>
      <c r="AB38" s="5">
        <f>Revenue!AB27*Assumptions!$F$29</f>
        <v>0</v>
      </c>
      <c r="AC38" s="5">
        <f>Revenue!AC27*Assumptions!$F$29</f>
        <v>0</v>
      </c>
      <c r="AD38" s="5">
        <f>Revenue!AD27*Assumptions!$F$29</f>
        <v>450</v>
      </c>
      <c r="AE38" s="5">
        <f>Revenue!AE27*Assumptions!$F$29</f>
        <v>0</v>
      </c>
      <c r="AF38" s="5">
        <f>Revenue!AF27*Assumptions!$F$29</f>
        <v>450</v>
      </c>
      <c r="AG38" s="5">
        <f>Revenue!AG27*Assumptions!$F$29</f>
        <v>450</v>
      </c>
      <c r="AH38" s="5">
        <f>Revenue!AH27*Assumptions!$F$29</f>
        <v>0</v>
      </c>
      <c r="AI38" s="5">
        <f>Revenue!AI27*Assumptions!$F$29</f>
        <v>0</v>
      </c>
      <c r="AJ38" s="5">
        <f>Revenue!AJ27*Assumptions!$F$29</f>
        <v>450</v>
      </c>
      <c r="AK38" s="5">
        <f>Revenue!AK27*Assumptions!$F$29</f>
        <v>450</v>
      </c>
      <c r="AL38" s="5">
        <f>Revenue!AL27*Assumptions!$F$29</f>
        <v>450</v>
      </c>
      <c r="AM38" s="5">
        <f>Revenue!AM27*Assumptions!$F$29</f>
        <v>0</v>
      </c>
    </row>
    <row r="39" spans="3:39" ht="23.1" customHeight="1">
      <c r="C39" s="4" t="s">
        <v>131</v>
      </c>
      <c r="D39" s="5">
        <f>Assumptions!$F$24</f>
        <v>12000</v>
      </c>
      <c r="E39" s="11">
        <f>0</f>
        <v>0</v>
      </c>
      <c r="F39" s="11">
        <f>0</f>
        <v>0</v>
      </c>
      <c r="G39" s="11">
        <f>0</f>
        <v>0</v>
      </c>
      <c r="H39" s="11">
        <f>0</f>
        <v>0</v>
      </c>
      <c r="I39" s="11">
        <f>0</f>
        <v>0</v>
      </c>
      <c r="J39" s="11">
        <f>0</f>
        <v>0</v>
      </c>
      <c r="K39" s="11">
        <f>0</f>
        <v>0</v>
      </c>
      <c r="L39" s="11">
        <f>0</f>
        <v>0</v>
      </c>
      <c r="M39" s="11">
        <f>0</f>
        <v>0</v>
      </c>
      <c r="N39" s="11">
        <f>0</f>
        <v>0</v>
      </c>
      <c r="O39" s="11">
        <f>0</f>
        <v>0</v>
      </c>
      <c r="P39" s="11">
        <f>0</f>
        <v>0</v>
      </c>
      <c r="Q39" s="11">
        <f>0</f>
        <v>0</v>
      </c>
      <c r="R39" s="11">
        <f>0</f>
        <v>0</v>
      </c>
      <c r="S39" s="11">
        <f>0</f>
        <v>0</v>
      </c>
      <c r="T39" s="11">
        <f>0</f>
        <v>0</v>
      </c>
      <c r="U39" s="11">
        <f>0</f>
        <v>0</v>
      </c>
      <c r="V39" s="11">
        <f>0</f>
        <v>0</v>
      </c>
      <c r="W39" s="11">
        <f>0</f>
        <v>0</v>
      </c>
      <c r="X39" s="11">
        <f>0</f>
        <v>0</v>
      </c>
      <c r="Y39" s="11">
        <f>0</f>
        <v>0</v>
      </c>
      <c r="Z39" s="11">
        <f>0</f>
        <v>0</v>
      </c>
      <c r="AA39" s="11">
        <f>0</f>
        <v>0</v>
      </c>
      <c r="AB39" s="11">
        <f>0</f>
        <v>0</v>
      </c>
      <c r="AC39" s="11">
        <f>0</f>
        <v>0</v>
      </c>
      <c r="AD39" s="11">
        <f>0</f>
        <v>0</v>
      </c>
      <c r="AE39" s="11">
        <f>0</f>
        <v>0</v>
      </c>
      <c r="AF39" s="11">
        <f>0</f>
        <v>0</v>
      </c>
      <c r="AG39" s="11">
        <f>0</f>
        <v>0</v>
      </c>
      <c r="AH39" s="11">
        <f>0</f>
        <v>0</v>
      </c>
      <c r="AI39" s="11">
        <f>0</f>
        <v>0</v>
      </c>
      <c r="AJ39" s="11">
        <f>0</f>
        <v>0</v>
      </c>
      <c r="AK39" s="11">
        <f>0</f>
        <v>0</v>
      </c>
      <c r="AL39" s="11">
        <f>0</f>
        <v>0</v>
      </c>
      <c r="AM39" s="11">
        <f>0</f>
        <v>0</v>
      </c>
    </row>
    <row r="40" spans="3:39" ht="23.1" customHeight="1">
      <c r="C40" s="4" t="s">
        <v>132</v>
      </c>
      <c r="D40" s="5">
        <f>IF(0&lt;Assumptions!$F$25,Assumptions!$F$24/Assumptions!$F$25,0)</f>
        <v>333.33333333333331</v>
      </c>
      <c r="E40" s="5">
        <f>IF(1&lt;Assumptions!$F$25,Assumptions!$F$24/Assumptions!$F$25,0)</f>
        <v>333.33333333333331</v>
      </c>
      <c r="F40" s="5">
        <f>IF(2&lt;Assumptions!$F$25,Assumptions!$F$24/Assumptions!$F$25,0)</f>
        <v>333.33333333333331</v>
      </c>
      <c r="G40" s="5">
        <f>IF(3&lt;Assumptions!$F$25,Assumptions!$F$24/Assumptions!$F$25,0)</f>
        <v>333.33333333333331</v>
      </c>
      <c r="H40" s="5">
        <f>IF(4&lt;Assumptions!$F$25,Assumptions!$F$24/Assumptions!$F$25,0)</f>
        <v>333.33333333333331</v>
      </c>
      <c r="I40" s="5">
        <f>IF(5&lt;Assumptions!$F$25,Assumptions!$F$24/Assumptions!$F$25,0)</f>
        <v>333.33333333333331</v>
      </c>
      <c r="J40" s="5">
        <f>IF(6&lt;Assumptions!$F$25,Assumptions!$F$24/Assumptions!$F$25,0)</f>
        <v>333.33333333333331</v>
      </c>
      <c r="K40" s="5">
        <f>IF(7&lt;Assumptions!$F$25,Assumptions!$F$24/Assumptions!$F$25,0)</f>
        <v>333.33333333333331</v>
      </c>
      <c r="L40" s="5">
        <f>IF(8&lt;Assumptions!$F$25,Assumptions!$F$24/Assumptions!$F$25,0)</f>
        <v>333.33333333333331</v>
      </c>
      <c r="M40" s="5">
        <f>IF(9&lt;Assumptions!$F$25,Assumptions!$F$24/Assumptions!$F$25,0)</f>
        <v>333.33333333333331</v>
      </c>
      <c r="N40" s="5">
        <f>IF(10&lt;Assumptions!$F$25,Assumptions!$F$24/Assumptions!$F$25,0)</f>
        <v>333.33333333333331</v>
      </c>
      <c r="O40" s="5">
        <f>IF(11&lt;Assumptions!$F$25,Assumptions!$F$24/Assumptions!$F$25,0)</f>
        <v>333.33333333333331</v>
      </c>
      <c r="P40" s="5">
        <f>IF(12&lt;Assumptions!$F$25,Assumptions!$F$24/Assumptions!$F$25,0)</f>
        <v>333.33333333333331</v>
      </c>
      <c r="Q40" s="5">
        <f>IF(13&lt;Assumptions!$F$25,Assumptions!$F$24/Assumptions!$F$25,0)</f>
        <v>333.33333333333331</v>
      </c>
      <c r="R40" s="5">
        <f>IF(14&lt;Assumptions!$F$25,Assumptions!$F$24/Assumptions!$F$25,0)</f>
        <v>333.33333333333331</v>
      </c>
      <c r="S40" s="5">
        <f>IF(15&lt;Assumptions!$F$25,Assumptions!$F$24/Assumptions!$F$25,0)</f>
        <v>333.33333333333331</v>
      </c>
      <c r="T40" s="5">
        <f>IF(16&lt;Assumptions!$F$25,Assumptions!$F$24/Assumptions!$F$25,0)</f>
        <v>333.33333333333331</v>
      </c>
      <c r="U40" s="5">
        <f>IF(17&lt;Assumptions!$F$25,Assumptions!$F$24/Assumptions!$F$25,0)</f>
        <v>333.33333333333331</v>
      </c>
      <c r="V40" s="5">
        <f>IF(18&lt;Assumptions!$F$25,Assumptions!$F$24/Assumptions!$F$25,0)</f>
        <v>333.33333333333331</v>
      </c>
      <c r="W40" s="5">
        <f>IF(19&lt;Assumptions!$F$25,Assumptions!$F$24/Assumptions!$F$25,0)</f>
        <v>333.33333333333331</v>
      </c>
      <c r="X40" s="5">
        <f>IF(20&lt;Assumptions!$F$25,Assumptions!$F$24/Assumptions!$F$25,0)</f>
        <v>333.33333333333331</v>
      </c>
      <c r="Y40" s="5">
        <f>IF(21&lt;Assumptions!$F$25,Assumptions!$F$24/Assumptions!$F$25,0)</f>
        <v>333.33333333333331</v>
      </c>
      <c r="Z40" s="5">
        <f>IF(22&lt;Assumptions!$F$25,Assumptions!$F$24/Assumptions!$F$25,0)</f>
        <v>333.33333333333331</v>
      </c>
      <c r="AA40" s="5">
        <f>IF(23&lt;Assumptions!$F$25,Assumptions!$F$24/Assumptions!$F$25,0)</f>
        <v>333.33333333333331</v>
      </c>
      <c r="AB40" s="5">
        <f>IF(24&lt;Assumptions!$F$25,Assumptions!$F$24/Assumptions!$F$25,0)</f>
        <v>333.33333333333331</v>
      </c>
      <c r="AC40" s="5">
        <f>IF(25&lt;Assumptions!$F$25,Assumptions!$F$24/Assumptions!$F$25,0)</f>
        <v>333.33333333333331</v>
      </c>
      <c r="AD40" s="5">
        <f>IF(26&lt;Assumptions!$F$25,Assumptions!$F$24/Assumptions!$F$25,0)</f>
        <v>333.33333333333331</v>
      </c>
      <c r="AE40" s="5">
        <f>IF(27&lt;Assumptions!$F$25,Assumptions!$F$24/Assumptions!$F$25,0)</f>
        <v>333.33333333333331</v>
      </c>
      <c r="AF40" s="5">
        <f>IF(28&lt;Assumptions!$F$25,Assumptions!$F$24/Assumptions!$F$25,0)</f>
        <v>333.33333333333331</v>
      </c>
      <c r="AG40" s="5">
        <f>IF(29&lt;Assumptions!$F$25,Assumptions!$F$24/Assumptions!$F$25,0)</f>
        <v>333.33333333333331</v>
      </c>
      <c r="AH40" s="5">
        <f>IF(30&lt;Assumptions!$F$25,Assumptions!$F$24/Assumptions!$F$25,0)</f>
        <v>333.33333333333331</v>
      </c>
      <c r="AI40" s="5">
        <f>IF(31&lt;Assumptions!$F$25,Assumptions!$F$24/Assumptions!$F$25,0)</f>
        <v>333.33333333333331</v>
      </c>
      <c r="AJ40" s="5">
        <f>IF(32&lt;Assumptions!$F$25,Assumptions!$F$24/Assumptions!$F$25,0)</f>
        <v>333.33333333333331</v>
      </c>
      <c r="AK40" s="5">
        <f>IF(33&lt;Assumptions!$F$25,Assumptions!$F$24/Assumptions!$F$25,0)</f>
        <v>333.33333333333331</v>
      </c>
      <c r="AL40" s="5">
        <f>IF(34&lt;Assumptions!$F$25,Assumptions!$F$24/Assumptions!$F$25,0)</f>
        <v>333.33333333333331</v>
      </c>
      <c r="AM40" s="5">
        <f>IF(35&lt;Assumptions!$F$25,Assumptions!$F$24/Assumptions!$F$25,0)</f>
        <v>333.33333333333331</v>
      </c>
    </row>
    <row r="41" spans="3:39" ht="23.1" customHeight="1">
      <c r="C41" s="4" t="s">
        <v>133</v>
      </c>
      <c r="D41" s="11">
        <f t="shared" ref="D41:AM41" si="4">D35+SUM(D36:D38)+D40</f>
        <v>8133.333333333333</v>
      </c>
      <c r="E41" s="11">
        <f t="shared" si="4"/>
        <v>8133.333333333333</v>
      </c>
      <c r="F41" s="11">
        <f t="shared" si="4"/>
        <v>8133.333333333333</v>
      </c>
      <c r="G41" s="11">
        <f t="shared" si="4"/>
        <v>8133.333333333333</v>
      </c>
      <c r="H41" s="11">
        <f t="shared" si="4"/>
        <v>21933.333333333332</v>
      </c>
      <c r="I41" s="11">
        <f t="shared" si="4"/>
        <v>8133.333333333333</v>
      </c>
      <c r="J41" s="11">
        <f t="shared" si="4"/>
        <v>8133.333333333333</v>
      </c>
      <c r="K41" s="11">
        <f t="shared" si="4"/>
        <v>8133.333333333333</v>
      </c>
      <c r="L41" s="11">
        <f t="shared" si="4"/>
        <v>8133.333333333333</v>
      </c>
      <c r="M41" s="11">
        <f t="shared" si="4"/>
        <v>21933.333333333332</v>
      </c>
      <c r="N41" s="11">
        <f t="shared" si="4"/>
        <v>8133.333333333333</v>
      </c>
      <c r="O41" s="11">
        <f t="shared" si="4"/>
        <v>8133.333333333333</v>
      </c>
      <c r="P41" s="11">
        <f t="shared" si="4"/>
        <v>8133.333333333333</v>
      </c>
      <c r="Q41" s="11">
        <f t="shared" si="4"/>
        <v>8133.333333333333</v>
      </c>
      <c r="R41" s="11">
        <f t="shared" si="4"/>
        <v>8133.333333333333</v>
      </c>
      <c r="S41" s="11">
        <f t="shared" si="4"/>
        <v>21933.333333333332</v>
      </c>
      <c r="T41" s="11">
        <f t="shared" si="4"/>
        <v>8133.333333333333</v>
      </c>
      <c r="U41" s="11">
        <f t="shared" si="4"/>
        <v>21933.333333333332</v>
      </c>
      <c r="V41" s="11">
        <f t="shared" si="4"/>
        <v>8133.333333333333</v>
      </c>
      <c r="W41" s="11">
        <f t="shared" si="4"/>
        <v>8133.333333333333</v>
      </c>
      <c r="X41" s="11">
        <f t="shared" si="4"/>
        <v>21933.333333333332</v>
      </c>
      <c r="Y41" s="11">
        <f t="shared" si="4"/>
        <v>21933.333333333332</v>
      </c>
      <c r="Z41" s="11">
        <f t="shared" si="4"/>
        <v>8133.333333333333</v>
      </c>
      <c r="AA41" s="11">
        <f t="shared" si="4"/>
        <v>8133.333333333333</v>
      </c>
      <c r="AB41" s="11">
        <f t="shared" si="4"/>
        <v>8133.333333333333</v>
      </c>
      <c r="AC41" s="11">
        <f t="shared" si="4"/>
        <v>8133.333333333333</v>
      </c>
      <c r="AD41" s="11">
        <f t="shared" si="4"/>
        <v>21933.333333333332</v>
      </c>
      <c r="AE41" s="11">
        <f t="shared" si="4"/>
        <v>8133.333333333333</v>
      </c>
      <c r="AF41" s="11">
        <f t="shared" si="4"/>
        <v>21933.333333333332</v>
      </c>
      <c r="AG41" s="11">
        <f t="shared" si="4"/>
        <v>21933.333333333332</v>
      </c>
      <c r="AH41" s="11">
        <f t="shared" si="4"/>
        <v>8133.333333333333</v>
      </c>
      <c r="AI41" s="11">
        <f t="shared" si="4"/>
        <v>8133.333333333333</v>
      </c>
      <c r="AJ41" s="11">
        <f t="shared" si="4"/>
        <v>21933.333333333332</v>
      </c>
      <c r="AK41" s="11">
        <f t="shared" si="4"/>
        <v>21933.333333333332</v>
      </c>
      <c r="AL41" s="11">
        <f t="shared" si="4"/>
        <v>21933.333333333332</v>
      </c>
      <c r="AM41" s="11">
        <f t="shared" si="4"/>
        <v>8133.333333333333</v>
      </c>
    </row>
    <row r="42" spans="3:39" ht="23.1" customHeight="1">
      <c r="C42" s="4" t="s">
        <v>134</v>
      </c>
      <c r="D42" s="11">
        <f t="shared" ref="D42:AM42" si="5">D41-D40</f>
        <v>7800</v>
      </c>
      <c r="E42" s="11">
        <f t="shared" si="5"/>
        <v>7800</v>
      </c>
      <c r="F42" s="11">
        <f t="shared" si="5"/>
        <v>7800</v>
      </c>
      <c r="G42" s="11">
        <f t="shared" si="5"/>
        <v>7800</v>
      </c>
      <c r="H42" s="11">
        <f t="shared" si="5"/>
        <v>21600</v>
      </c>
      <c r="I42" s="11">
        <f t="shared" si="5"/>
        <v>7800</v>
      </c>
      <c r="J42" s="11">
        <f t="shared" si="5"/>
        <v>7800</v>
      </c>
      <c r="K42" s="11">
        <f t="shared" si="5"/>
        <v>7800</v>
      </c>
      <c r="L42" s="11">
        <f t="shared" si="5"/>
        <v>7800</v>
      </c>
      <c r="M42" s="11">
        <f t="shared" si="5"/>
        <v>21600</v>
      </c>
      <c r="N42" s="11">
        <f t="shared" si="5"/>
        <v>7800</v>
      </c>
      <c r="O42" s="11">
        <f t="shared" si="5"/>
        <v>7800</v>
      </c>
      <c r="P42" s="11">
        <f t="shared" si="5"/>
        <v>7800</v>
      </c>
      <c r="Q42" s="11">
        <f t="shared" si="5"/>
        <v>7800</v>
      </c>
      <c r="R42" s="11">
        <f t="shared" si="5"/>
        <v>7800</v>
      </c>
      <c r="S42" s="11">
        <f t="shared" si="5"/>
        <v>21600</v>
      </c>
      <c r="T42" s="11">
        <f t="shared" si="5"/>
        <v>7800</v>
      </c>
      <c r="U42" s="11">
        <f t="shared" si="5"/>
        <v>21600</v>
      </c>
      <c r="V42" s="11">
        <f t="shared" si="5"/>
        <v>7800</v>
      </c>
      <c r="W42" s="11">
        <f t="shared" si="5"/>
        <v>7800</v>
      </c>
      <c r="X42" s="11">
        <f t="shared" si="5"/>
        <v>21600</v>
      </c>
      <c r="Y42" s="11">
        <f t="shared" si="5"/>
        <v>21600</v>
      </c>
      <c r="Z42" s="11">
        <f t="shared" si="5"/>
        <v>7800</v>
      </c>
      <c r="AA42" s="11">
        <f t="shared" si="5"/>
        <v>7800</v>
      </c>
      <c r="AB42" s="11">
        <f t="shared" si="5"/>
        <v>7800</v>
      </c>
      <c r="AC42" s="11">
        <f t="shared" si="5"/>
        <v>7800</v>
      </c>
      <c r="AD42" s="11">
        <f t="shared" si="5"/>
        <v>21600</v>
      </c>
      <c r="AE42" s="11">
        <f t="shared" si="5"/>
        <v>7800</v>
      </c>
      <c r="AF42" s="11">
        <f t="shared" si="5"/>
        <v>21600</v>
      </c>
      <c r="AG42" s="11">
        <f t="shared" si="5"/>
        <v>21600</v>
      </c>
      <c r="AH42" s="11">
        <f t="shared" si="5"/>
        <v>7800</v>
      </c>
      <c r="AI42" s="11">
        <f t="shared" si="5"/>
        <v>7800</v>
      </c>
      <c r="AJ42" s="11">
        <f t="shared" si="5"/>
        <v>21600</v>
      </c>
      <c r="AK42" s="11">
        <f t="shared" si="5"/>
        <v>21600</v>
      </c>
      <c r="AL42" s="11">
        <f t="shared" si="5"/>
        <v>21600</v>
      </c>
      <c r="AM42" s="11">
        <f t="shared" si="5"/>
        <v>7800</v>
      </c>
    </row>
    <row r="43" spans="3:39" ht="23.1" customHeight="1">
      <c r="C43" s="4" t="s">
        <v>12</v>
      </c>
      <c r="D43" s="5">
        <f>Revenue!D27-D41</f>
        <v>-8133.333333333333</v>
      </c>
      <c r="E43" s="5">
        <f>Revenue!E27-E41</f>
        <v>-8133.333333333333</v>
      </c>
      <c r="F43" s="5">
        <f>Revenue!F27-F41</f>
        <v>-8133.333333333333</v>
      </c>
      <c r="G43" s="5">
        <f>Revenue!G27-G41</f>
        <v>-8133.333333333333</v>
      </c>
      <c r="H43" s="5">
        <f>Revenue!H27-H41</f>
        <v>-6933.3333333333321</v>
      </c>
      <c r="I43" s="5">
        <f>Revenue!I27-I41</f>
        <v>-8133.333333333333</v>
      </c>
      <c r="J43" s="5">
        <f>Revenue!J27-J41</f>
        <v>-8133.333333333333</v>
      </c>
      <c r="K43" s="5">
        <f>Revenue!K27-K41</f>
        <v>-8133.333333333333</v>
      </c>
      <c r="L43" s="5">
        <f>Revenue!L27-L41</f>
        <v>-8133.333333333333</v>
      </c>
      <c r="M43" s="5">
        <f>Revenue!M27-M41</f>
        <v>-6933.3333333333321</v>
      </c>
      <c r="N43" s="5">
        <f>Revenue!N27-N41</f>
        <v>-8133.333333333333</v>
      </c>
      <c r="O43" s="5">
        <f>Revenue!O27-O41</f>
        <v>-8133.333333333333</v>
      </c>
      <c r="P43" s="5">
        <f>Revenue!P27-P41</f>
        <v>-8133.333333333333</v>
      </c>
      <c r="Q43" s="5">
        <f>Revenue!Q27-Q41</f>
        <v>-8133.333333333333</v>
      </c>
      <c r="R43" s="5">
        <f>Revenue!R27-R41</f>
        <v>-8133.333333333333</v>
      </c>
      <c r="S43" s="5">
        <f>Revenue!S27-S41</f>
        <v>-6933.3333333333321</v>
      </c>
      <c r="T43" s="5">
        <f>Revenue!T27-T41</f>
        <v>-8133.333333333333</v>
      </c>
      <c r="U43" s="5">
        <f>Revenue!U27-U41</f>
        <v>-6933.3333333333321</v>
      </c>
      <c r="V43" s="5">
        <f>Revenue!V27-V41</f>
        <v>-8133.333333333333</v>
      </c>
      <c r="W43" s="5">
        <f>Revenue!W27-W41</f>
        <v>-8133.333333333333</v>
      </c>
      <c r="X43" s="5">
        <f>Revenue!X27-X41</f>
        <v>-6933.3333333333321</v>
      </c>
      <c r="Y43" s="5">
        <f>Revenue!Y27-Y41</f>
        <v>-6933.3333333333321</v>
      </c>
      <c r="Z43" s="5">
        <f>Revenue!Z27-Z41</f>
        <v>-8133.333333333333</v>
      </c>
      <c r="AA43" s="5">
        <f>Revenue!AA27-AA41</f>
        <v>-8133.333333333333</v>
      </c>
      <c r="AB43" s="5">
        <f>Revenue!AB27-AB41</f>
        <v>-8133.333333333333</v>
      </c>
      <c r="AC43" s="5">
        <f>Revenue!AC27-AC41</f>
        <v>-8133.333333333333</v>
      </c>
      <c r="AD43" s="5">
        <f>Revenue!AD27-AD41</f>
        <v>-6933.3333333333321</v>
      </c>
      <c r="AE43" s="5">
        <f>Revenue!AE27-AE41</f>
        <v>-8133.333333333333</v>
      </c>
      <c r="AF43" s="5">
        <f>Revenue!AF27-AF41</f>
        <v>-6933.3333333333321</v>
      </c>
      <c r="AG43" s="5">
        <f>Revenue!AG27-AG41</f>
        <v>-6933.3333333333321</v>
      </c>
      <c r="AH43" s="5">
        <f>Revenue!AH27-AH41</f>
        <v>-8133.333333333333</v>
      </c>
      <c r="AI43" s="5">
        <f>Revenue!AI27-AI41</f>
        <v>-8133.333333333333</v>
      </c>
      <c r="AJ43" s="5">
        <f>Revenue!AJ27-AJ41</f>
        <v>-6933.3333333333321</v>
      </c>
      <c r="AK43" s="5">
        <f>Revenue!AK27-AK41</f>
        <v>-6933.3333333333321</v>
      </c>
      <c r="AL43" s="5">
        <f>Revenue!AL27-AL41</f>
        <v>-6933.3333333333321</v>
      </c>
      <c r="AM43" s="5">
        <f>Revenue!AM27-AM41</f>
        <v>-8133.333333333333</v>
      </c>
    </row>
    <row r="44" spans="3:39" ht="23.1" customHeight="1">
      <c r="C44" s="4" t="s">
        <v>135</v>
      </c>
      <c r="D44" s="5">
        <f>Assumptions!$F$31</f>
        <v>160</v>
      </c>
      <c r="E44" s="5">
        <f>Assumptions!$F$31</f>
        <v>160</v>
      </c>
      <c r="F44" s="5">
        <f>Assumptions!$F$31</f>
        <v>160</v>
      </c>
      <c r="G44" s="5">
        <f>Assumptions!$F$31</f>
        <v>160</v>
      </c>
      <c r="H44" s="5">
        <f>Assumptions!$F$31</f>
        <v>160</v>
      </c>
      <c r="I44" s="5">
        <f>Assumptions!$F$31</f>
        <v>160</v>
      </c>
      <c r="J44" s="5">
        <f>Assumptions!$F$31</f>
        <v>160</v>
      </c>
      <c r="K44" s="5">
        <f>Assumptions!$F$31</f>
        <v>160</v>
      </c>
      <c r="L44" s="5">
        <f>Assumptions!$F$31</f>
        <v>160</v>
      </c>
      <c r="M44" s="5">
        <f>Assumptions!$F$31</f>
        <v>160</v>
      </c>
      <c r="N44" s="5">
        <f>Assumptions!$F$31</f>
        <v>160</v>
      </c>
      <c r="O44" s="5">
        <f>Assumptions!$F$31</f>
        <v>160</v>
      </c>
      <c r="P44" s="5">
        <f>Assumptions!$F$31</f>
        <v>160</v>
      </c>
      <c r="Q44" s="5">
        <f>Assumptions!$F$31</f>
        <v>160</v>
      </c>
      <c r="R44" s="5">
        <f>Assumptions!$F$31</f>
        <v>160</v>
      </c>
      <c r="S44" s="5">
        <f>Assumptions!$F$31</f>
        <v>160</v>
      </c>
      <c r="T44" s="5">
        <f>Assumptions!$F$31</f>
        <v>160</v>
      </c>
      <c r="U44" s="5">
        <f>Assumptions!$F$31</f>
        <v>160</v>
      </c>
      <c r="V44" s="5">
        <f>Assumptions!$F$31</f>
        <v>160</v>
      </c>
      <c r="W44" s="5">
        <f>Assumptions!$F$31</f>
        <v>160</v>
      </c>
      <c r="X44" s="5">
        <f>Assumptions!$F$31</f>
        <v>160</v>
      </c>
      <c r="Y44" s="5">
        <f>Assumptions!$F$31</f>
        <v>160</v>
      </c>
      <c r="Z44" s="5">
        <f>Assumptions!$F$31</f>
        <v>160</v>
      </c>
      <c r="AA44" s="5">
        <f>Assumptions!$F$31</f>
        <v>160</v>
      </c>
      <c r="AB44" s="5">
        <f>Assumptions!$F$31</f>
        <v>160</v>
      </c>
      <c r="AC44" s="5">
        <f>Assumptions!$F$31</f>
        <v>160</v>
      </c>
      <c r="AD44" s="5">
        <f>Assumptions!$F$31</f>
        <v>160</v>
      </c>
      <c r="AE44" s="5">
        <f>Assumptions!$F$31</f>
        <v>160</v>
      </c>
      <c r="AF44" s="5">
        <f>Assumptions!$F$31</f>
        <v>160</v>
      </c>
      <c r="AG44" s="5">
        <f>Assumptions!$F$31</f>
        <v>160</v>
      </c>
      <c r="AH44" s="5">
        <f>Assumptions!$F$31</f>
        <v>160</v>
      </c>
      <c r="AI44" s="5">
        <f>Assumptions!$F$31</f>
        <v>160</v>
      </c>
      <c r="AJ44" s="5">
        <f>Assumptions!$F$31</f>
        <v>160</v>
      </c>
      <c r="AK44" s="5">
        <f>Assumptions!$F$31</f>
        <v>160</v>
      </c>
      <c r="AL44" s="5">
        <f>Assumptions!$F$31</f>
        <v>160</v>
      </c>
      <c r="AM44" s="5">
        <f>Assumptions!$F$31</f>
        <v>160</v>
      </c>
    </row>
    <row r="45" spans="3:39" ht="23.1" customHeight="1">
      <c r="C45" s="4" t="s">
        <v>136</v>
      </c>
      <c r="D45" s="5">
        <f>MAX(0,Assumptions!$F$30-Assumptions!$F$31)</f>
        <v>80</v>
      </c>
      <c r="E45" s="5">
        <f>MAX(0,Assumptions!$F$30-Assumptions!$F$31)</f>
        <v>80</v>
      </c>
      <c r="F45" s="5">
        <f>MAX(0,Assumptions!$F$30-Assumptions!$F$31)</f>
        <v>80</v>
      </c>
      <c r="G45" s="5">
        <f>MAX(0,Assumptions!$F$30-Assumptions!$F$31)</f>
        <v>80</v>
      </c>
      <c r="H45" s="5">
        <f>MAX(0,Assumptions!$F$30-Assumptions!$F$31)</f>
        <v>80</v>
      </c>
      <c r="I45" s="5">
        <f>MAX(0,Assumptions!$F$30-Assumptions!$F$31)</f>
        <v>80</v>
      </c>
      <c r="J45" s="5">
        <f>MAX(0,Assumptions!$F$30-Assumptions!$F$31)</f>
        <v>80</v>
      </c>
      <c r="K45" s="5">
        <f>MAX(0,Assumptions!$F$30-Assumptions!$F$31)</f>
        <v>80</v>
      </c>
      <c r="L45" s="5">
        <f>MAX(0,Assumptions!$F$30-Assumptions!$F$31)</f>
        <v>80</v>
      </c>
      <c r="M45" s="5">
        <f>MAX(0,Assumptions!$F$30-Assumptions!$F$31)</f>
        <v>80</v>
      </c>
      <c r="N45" s="5">
        <f>MAX(0,Assumptions!$F$30-Assumptions!$F$31)</f>
        <v>80</v>
      </c>
      <c r="O45" s="5">
        <f>MAX(0,Assumptions!$F$30-Assumptions!$F$31)</f>
        <v>80</v>
      </c>
      <c r="P45" s="5">
        <f>MAX(0,Assumptions!$F$30-Assumptions!$F$31)</f>
        <v>80</v>
      </c>
      <c r="Q45" s="5">
        <f>MAX(0,Assumptions!$F$30-Assumptions!$F$31)</f>
        <v>80</v>
      </c>
      <c r="R45" s="5">
        <f>MAX(0,Assumptions!$F$30-Assumptions!$F$31)</f>
        <v>80</v>
      </c>
      <c r="S45" s="5">
        <f>MAX(0,Assumptions!$F$30-Assumptions!$F$31)</f>
        <v>80</v>
      </c>
      <c r="T45" s="5">
        <f>MAX(0,Assumptions!$F$30-Assumptions!$F$31)</f>
        <v>80</v>
      </c>
      <c r="U45" s="5">
        <f>MAX(0,Assumptions!$F$30-Assumptions!$F$31)</f>
        <v>80</v>
      </c>
      <c r="V45" s="5">
        <f>MAX(0,Assumptions!$F$30-Assumptions!$F$31)</f>
        <v>80</v>
      </c>
      <c r="W45" s="5">
        <f>MAX(0,Assumptions!$F$30-Assumptions!$F$31)</f>
        <v>80</v>
      </c>
      <c r="X45" s="5">
        <f>MAX(0,Assumptions!$F$30-Assumptions!$F$31)</f>
        <v>80</v>
      </c>
      <c r="Y45" s="5">
        <f>MAX(0,Assumptions!$F$30-Assumptions!$F$31)</f>
        <v>80</v>
      </c>
      <c r="Z45" s="5">
        <f>MAX(0,Assumptions!$F$30-Assumptions!$F$31)</f>
        <v>80</v>
      </c>
      <c r="AA45" s="5">
        <f>MAX(0,Assumptions!$F$30-Assumptions!$F$31)</f>
        <v>80</v>
      </c>
      <c r="AB45" s="5">
        <f>MAX(0,Assumptions!$F$30-Assumptions!$F$31)</f>
        <v>80</v>
      </c>
      <c r="AC45" s="5">
        <f>MAX(0,Assumptions!$F$30-Assumptions!$F$31)</f>
        <v>80</v>
      </c>
      <c r="AD45" s="5">
        <f>MAX(0,Assumptions!$F$30-Assumptions!$F$31)</f>
        <v>80</v>
      </c>
      <c r="AE45" s="5">
        <f>MAX(0,Assumptions!$F$30-Assumptions!$F$31)</f>
        <v>80</v>
      </c>
      <c r="AF45" s="5">
        <f>MAX(0,Assumptions!$F$30-Assumptions!$F$31)</f>
        <v>80</v>
      </c>
      <c r="AG45" s="5">
        <f>MAX(0,Assumptions!$F$30-Assumptions!$F$31)</f>
        <v>80</v>
      </c>
      <c r="AH45" s="5">
        <f>MAX(0,Assumptions!$F$30-Assumptions!$F$31)</f>
        <v>80</v>
      </c>
      <c r="AI45" s="5">
        <f>MAX(0,Assumptions!$F$30-Assumptions!$F$31)</f>
        <v>80</v>
      </c>
      <c r="AJ45" s="5">
        <f>MAX(0,Assumptions!$F$30-Assumptions!$F$31)</f>
        <v>80</v>
      </c>
      <c r="AK45" s="5">
        <f>MAX(0,Assumptions!$F$30-Assumptions!$F$31)</f>
        <v>80</v>
      </c>
      <c r="AL45" s="5">
        <f>MAX(0,Assumptions!$F$30-Assumptions!$F$31)</f>
        <v>80</v>
      </c>
      <c r="AM45" s="5">
        <f>MAX(0,Assumptions!$F$30-Assumptions!$F$31)</f>
        <v>80</v>
      </c>
    </row>
    <row r="46" spans="3:39" ht="23.1" customHeight="1">
      <c r="C46" s="4" t="s">
        <v>137</v>
      </c>
      <c r="D46" s="5">
        <f>Assumptions!$F$32</f>
        <v>160</v>
      </c>
      <c r="E46" s="5">
        <f>Assumptions!$F$32</f>
        <v>160</v>
      </c>
      <c r="F46" s="5">
        <f>Assumptions!$F$32</f>
        <v>160</v>
      </c>
      <c r="G46" s="5">
        <f>Assumptions!$F$32</f>
        <v>160</v>
      </c>
      <c r="H46" s="5">
        <f>Assumptions!$F$32</f>
        <v>160</v>
      </c>
      <c r="I46" s="5">
        <f>Assumptions!$F$32</f>
        <v>160</v>
      </c>
      <c r="J46" s="5">
        <f>Assumptions!$F$32</f>
        <v>160</v>
      </c>
      <c r="K46" s="5">
        <f>Assumptions!$F$32</f>
        <v>160</v>
      </c>
      <c r="L46" s="5">
        <f>Assumptions!$F$32</f>
        <v>160</v>
      </c>
      <c r="M46" s="5">
        <f>Assumptions!$F$32</f>
        <v>160</v>
      </c>
      <c r="N46" s="5">
        <f>Assumptions!$F$32</f>
        <v>160</v>
      </c>
      <c r="O46" s="5">
        <f>Assumptions!$F$32</f>
        <v>160</v>
      </c>
      <c r="P46" s="5">
        <f>Assumptions!$F$32</f>
        <v>160</v>
      </c>
      <c r="Q46" s="5">
        <f>Assumptions!$F$32</f>
        <v>160</v>
      </c>
      <c r="R46" s="5">
        <f>Assumptions!$F$32</f>
        <v>160</v>
      </c>
      <c r="S46" s="5">
        <f>Assumptions!$F$32</f>
        <v>160</v>
      </c>
      <c r="T46" s="5">
        <f>Assumptions!$F$32</f>
        <v>160</v>
      </c>
      <c r="U46" s="5">
        <f>Assumptions!$F$32</f>
        <v>160</v>
      </c>
      <c r="V46" s="5">
        <f>Assumptions!$F$32</f>
        <v>160</v>
      </c>
      <c r="W46" s="5">
        <f>Assumptions!$F$32</f>
        <v>160</v>
      </c>
      <c r="X46" s="5">
        <f>Assumptions!$F$32</f>
        <v>160</v>
      </c>
      <c r="Y46" s="5">
        <f>Assumptions!$F$32</f>
        <v>160</v>
      </c>
      <c r="Z46" s="5">
        <f>Assumptions!$F$32</f>
        <v>160</v>
      </c>
      <c r="AA46" s="5">
        <f>Assumptions!$F$32</f>
        <v>160</v>
      </c>
      <c r="AB46" s="5">
        <f>Assumptions!$F$32</f>
        <v>160</v>
      </c>
      <c r="AC46" s="5">
        <f>Assumptions!$F$32</f>
        <v>160</v>
      </c>
      <c r="AD46" s="5">
        <f>Assumptions!$F$32</f>
        <v>160</v>
      </c>
      <c r="AE46" s="5">
        <f>Assumptions!$F$32</f>
        <v>160</v>
      </c>
      <c r="AF46" s="5">
        <f>Assumptions!$F$32</f>
        <v>160</v>
      </c>
      <c r="AG46" s="5">
        <f>Assumptions!$F$32</f>
        <v>160</v>
      </c>
      <c r="AH46" s="5">
        <f>Assumptions!$F$32</f>
        <v>160</v>
      </c>
      <c r="AI46" s="5">
        <f>Assumptions!$F$32</f>
        <v>160</v>
      </c>
      <c r="AJ46" s="5">
        <f>Assumptions!$F$32</f>
        <v>160</v>
      </c>
      <c r="AK46" s="5">
        <f>Assumptions!$F$32</f>
        <v>160</v>
      </c>
      <c r="AL46" s="5">
        <f>Assumptions!$F$32</f>
        <v>160</v>
      </c>
      <c r="AM46" s="5">
        <f>Assumptions!$F$32</f>
        <v>160</v>
      </c>
    </row>
    <row r="47" spans="3:39" ht="23.1" customHeight="1"/>
    <row r="48" spans="3:39" ht="23.1" customHeight="1"/>
    <row r="49" spans="3:39" ht="23.1" customHeight="1"/>
    <row r="50" spans="3:39" ht="23.1" customHeight="1"/>
    <row r="51" spans="3:39" ht="23.1" customHeight="1"/>
    <row r="52" spans="3:39" ht="23.1" customHeight="1"/>
    <row r="53" spans="3:39" ht="23.1" customHeight="1"/>
    <row r="54" spans="3:39" ht="30" customHeight="1">
      <c r="C54" s="3" t="s">
        <v>29</v>
      </c>
      <c r="D54" s="10">
        <v>46388</v>
      </c>
      <c r="E54" s="10">
        <v>46419</v>
      </c>
      <c r="F54" s="10">
        <v>46447</v>
      </c>
      <c r="G54" s="10">
        <v>46478</v>
      </c>
      <c r="H54" s="10">
        <v>46508</v>
      </c>
      <c r="I54" s="10">
        <v>46539</v>
      </c>
      <c r="J54" s="10">
        <v>46569</v>
      </c>
      <c r="K54" s="10">
        <v>46600</v>
      </c>
      <c r="L54" s="10">
        <v>46631</v>
      </c>
      <c r="M54" s="10">
        <v>46661</v>
      </c>
      <c r="N54" s="10">
        <v>46692</v>
      </c>
      <c r="O54" s="10">
        <v>46722</v>
      </c>
      <c r="P54" s="10">
        <v>46753</v>
      </c>
      <c r="Q54" s="10">
        <v>46784</v>
      </c>
      <c r="R54" s="10">
        <v>46813</v>
      </c>
      <c r="S54" s="10">
        <v>46844</v>
      </c>
      <c r="T54" s="10">
        <v>46874</v>
      </c>
      <c r="U54" s="10">
        <v>46905</v>
      </c>
      <c r="V54" s="10">
        <v>46935</v>
      </c>
      <c r="W54" s="10">
        <v>46966</v>
      </c>
      <c r="X54" s="10">
        <v>46997</v>
      </c>
      <c r="Y54" s="10">
        <v>47027</v>
      </c>
      <c r="Z54" s="10">
        <v>47058</v>
      </c>
      <c r="AA54" s="10">
        <v>47088</v>
      </c>
      <c r="AB54" s="10">
        <v>47119</v>
      </c>
      <c r="AC54" s="10">
        <v>47150</v>
      </c>
      <c r="AD54" s="10">
        <v>47178</v>
      </c>
      <c r="AE54" s="10">
        <v>47209</v>
      </c>
      <c r="AF54" s="10">
        <v>47239</v>
      </c>
      <c r="AG54" s="10">
        <v>47270</v>
      </c>
      <c r="AH54" s="10">
        <v>47300</v>
      </c>
      <c r="AI54" s="10">
        <v>47331</v>
      </c>
      <c r="AJ54" s="10">
        <v>47362</v>
      </c>
      <c r="AK54" s="10">
        <v>47392</v>
      </c>
      <c r="AL54" s="10">
        <v>47423</v>
      </c>
      <c r="AM54" s="10">
        <v>47453</v>
      </c>
    </row>
    <row r="55" spans="3:39" ht="23.1" customHeight="1">
      <c r="C55" s="4" t="s">
        <v>124</v>
      </c>
      <c r="D55" s="5">
        <f>Revenue!D44*(Assumptions!$G$17*Assumptions!$G$19+Assumptions!$G$18*Assumptions!$G$20)</f>
        <v>0</v>
      </c>
      <c r="E55" s="5">
        <f>Revenue!E44*(Assumptions!$G$17*Assumptions!$G$19+Assumptions!$G$18*Assumptions!$G$20)</f>
        <v>0</v>
      </c>
      <c r="F55" s="5">
        <f>Revenue!F44*(Assumptions!$G$17*Assumptions!$G$19+Assumptions!$G$18*Assumptions!$G$20)</f>
        <v>1750</v>
      </c>
      <c r="G55" s="5">
        <f>Revenue!G44*(Assumptions!$G$17*Assumptions!$G$19+Assumptions!$G$18*Assumptions!$G$20)</f>
        <v>0</v>
      </c>
      <c r="H55" s="5">
        <f>Revenue!H44*(Assumptions!$G$17*Assumptions!$G$19+Assumptions!$G$18*Assumptions!$G$20)</f>
        <v>1750</v>
      </c>
      <c r="I55" s="5">
        <f>Revenue!I44*(Assumptions!$G$17*Assumptions!$G$19+Assumptions!$G$18*Assumptions!$G$20)</f>
        <v>1750</v>
      </c>
      <c r="J55" s="5">
        <f>Revenue!J44*(Assumptions!$G$17*Assumptions!$G$19+Assumptions!$G$18*Assumptions!$G$20)</f>
        <v>0</v>
      </c>
      <c r="K55" s="5">
        <f>Revenue!K44*(Assumptions!$G$17*Assumptions!$G$19+Assumptions!$G$18*Assumptions!$G$20)</f>
        <v>0</v>
      </c>
      <c r="L55" s="5">
        <f>Revenue!L44*(Assumptions!$G$17*Assumptions!$G$19+Assumptions!$G$18*Assumptions!$G$20)</f>
        <v>1750</v>
      </c>
      <c r="M55" s="5">
        <f>Revenue!M44*(Assumptions!$G$17*Assumptions!$G$19+Assumptions!$G$18*Assumptions!$G$20)</f>
        <v>1750</v>
      </c>
      <c r="N55" s="5">
        <f>Revenue!N44*(Assumptions!$G$17*Assumptions!$G$19+Assumptions!$G$18*Assumptions!$G$20)</f>
        <v>1750</v>
      </c>
      <c r="O55" s="5">
        <f>Revenue!O44*(Assumptions!$G$17*Assumptions!$G$19+Assumptions!$G$18*Assumptions!$G$20)</f>
        <v>0</v>
      </c>
      <c r="P55" s="5">
        <f>Revenue!P44*(Assumptions!$G$17*Assumptions!$G$19+Assumptions!$G$18*Assumptions!$G$20)</f>
        <v>0</v>
      </c>
      <c r="Q55" s="5">
        <f>Revenue!Q44*(Assumptions!$G$17*Assumptions!$G$19+Assumptions!$G$18*Assumptions!$G$20)</f>
        <v>1750</v>
      </c>
      <c r="R55" s="5">
        <f>Revenue!R44*(Assumptions!$G$17*Assumptions!$G$19+Assumptions!$G$18*Assumptions!$G$20)</f>
        <v>1750</v>
      </c>
      <c r="S55" s="5">
        <f>Revenue!S44*(Assumptions!$G$17*Assumptions!$G$19+Assumptions!$G$18*Assumptions!$G$20)</f>
        <v>3500</v>
      </c>
      <c r="T55" s="5">
        <f>Revenue!T44*(Assumptions!$G$17*Assumptions!$G$19+Assumptions!$G$18*Assumptions!$G$20)</f>
        <v>1750</v>
      </c>
      <c r="U55" s="5">
        <f>Revenue!U44*(Assumptions!$G$17*Assumptions!$G$19+Assumptions!$G$18*Assumptions!$G$20)</f>
        <v>3500</v>
      </c>
      <c r="V55" s="5">
        <f>Revenue!V44*(Assumptions!$G$17*Assumptions!$G$19+Assumptions!$G$18*Assumptions!$G$20)</f>
        <v>0</v>
      </c>
      <c r="W55" s="5">
        <f>Revenue!W44*(Assumptions!$G$17*Assumptions!$G$19+Assumptions!$G$18*Assumptions!$G$20)</f>
        <v>0</v>
      </c>
      <c r="X55" s="5">
        <f>Revenue!X44*(Assumptions!$G$17*Assumptions!$G$19+Assumptions!$G$18*Assumptions!$G$20)</f>
        <v>3500</v>
      </c>
      <c r="Y55" s="5">
        <f>Revenue!Y44*(Assumptions!$G$17*Assumptions!$G$19+Assumptions!$G$18*Assumptions!$G$20)</f>
        <v>3500</v>
      </c>
      <c r="Z55" s="5">
        <f>Revenue!Z44*(Assumptions!$G$17*Assumptions!$G$19+Assumptions!$G$18*Assumptions!$G$20)</f>
        <v>3500</v>
      </c>
      <c r="AA55" s="5">
        <f>Revenue!AA44*(Assumptions!$G$17*Assumptions!$G$19+Assumptions!$G$18*Assumptions!$G$20)</f>
        <v>1750</v>
      </c>
      <c r="AB55" s="5">
        <f>Revenue!AB44*(Assumptions!$G$17*Assumptions!$G$19+Assumptions!$G$18*Assumptions!$G$20)</f>
        <v>1750</v>
      </c>
      <c r="AC55" s="5">
        <f>Revenue!AC44*(Assumptions!$G$17*Assumptions!$G$19+Assumptions!$G$18*Assumptions!$G$20)</f>
        <v>1750</v>
      </c>
      <c r="AD55" s="5">
        <f>Revenue!AD44*(Assumptions!$G$17*Assumptions!$G$19+Assumptions!$G$18*Assumptions!$G$20)</f>
        <v>3500</v>
      </c>
      <c r="AE55" s="5">
        <f>Revenue!AE44*(Assumptions!$G$17*Assumptions!$G$19+Assumptions!$G$18*Assumptions!$G$20)</f>
        <v>5250</v>
      </c>
      <c r="AF55" s="5">
        <f>Revenue!AF44*(Assumptions!$G$17*Assumptions!$G$19+Assumptions!$G$18*Assumptions!$G$20)</f>
        <v>5250</v>
      </c>
      <c r="AG55" s="5">
        <f>Revenue!AG44*(Assumptions!$G$17*Assumptions!$G$19+Assumptions!$G$18*Assumptions!$G$20)</f>
        <v>5250</v>
      </c>
      <c r="AH55" s="5">
        <f>Revenue!AH44*(Assumptions!$G$17*Assumptions!$G$19+Assumptions!$G$18*Assumptions!$G$20)</f>
        <v>0</v>
      </c>
      <c r="AI55" s="5">
        <f>Revenue!AI44*(Assumptions!$G$17*Assumptions!$G$19+Assumptions!$G$18*Assumptions!$G$20)</f>
        <v>0</v>
      </c>
      <c r="AJ55" s="5">
        <f>Revenue!AJ44*(Assumptions!$G$17*Assumptions!$G$19+Assumptions!$G$18*Assumptions!$G$20)</f>
        <v>5250</v>
      </c>
      <c r="AK55" s="5">
        <f>Revenue!AK44*(Assumptions!$G$17*Assumptions!$G$19+Assumptions!$G$18*Assumptions!$G$20)</f>
        <v>5250</v>
      </c>
      <c r="AL55" s="5">
        <f>Revenue!AL44*(Assumptions!$G$17*Assumptions!$G$19+Assumptions!$G$18*Assumptions!$G$20)</f>
        <v>5250</v>
      </c>
      <c r="AM55" s="5">
        <f>Revenue!AM44*(Assumptions!$G$17*Assumptions!$G$19+Assumptions!$G$18*Assumptions!$G$20)</f>
        <v>3500</v>
      </c>
    </row>
    <row r="56" spans="3:39" ht="23.1" customHeight="1">
      <c r="C56" s="4" t="s">
        <v>125</v>
      </c>
      <c r="D56" s="5">
        <f>Revenue!D49*Assumptions!$G$15</f>
        <v>0</v>
      </c>
      <c r="E56" s="5">
        <f>Revenue!E49*Assumptions!$G$15</f>
        <v>0</v>
      </c>
      <c r="F56" s="5">
        <f>Revenue!F49*Assumptions!$G$15</f>
        <v>5600</v>
      </c>
      <c r="G56" s="5">
        <f>Revenue!G49*Assumptions!$G$15</f>
        <v>0</v>
      </c>
      <c r="H56" s="5">
        <f>Revenue!H49*Assumptions!$G$15</f>
        <v>5600</v>
      </c>
      <c r="I56" s="5">
        <f>Revenue!I49*Assumptions!$G$15</f>
        <v>5600</v>
      </c>
      <c r="J56" s="5">
        <f>Revenue!J49*Assumptions!$G$15</f>
        <v>0</v>
      </c>
      <c r="K56" s="5">
        <f>Revenue!K49*Assumptions!$G$15</f>
        <v>0</v>
      </c>
      <c r="L56" s="5">
        <f>Revenue!L49*Assumptions!$G$15</f>
        <v>5600</v>
      </c>
      <c r="M56" s="5">
        <f>Revenue!M49*Assumptions!$G$15</f>
        <v>5600</v>
      </c>
      <c r="N56" s="5">
        <f>Revenue!N49*Assumptions!$G$15</f>
        <v>5600</v>
      </c>
      <c r="O56" s="5">
        <f>Revenue!O49*Assumptions!$G$15</f>
        <v>0</v>
      </c>
      <c r="P56" s="5">
        <f>Revenue!P49*Assumptions!$G$15</f>
        <v>0</v>
      </c>
      <c r="Q56" s="5">
        <f>Revenue!Q49*Assumptions!$G$15</f>
        <v>5600</v>
      </c>
      <c r="R56" s="5">
        <f>Revenue!R49*Assumptions!$G$15</f>
        <v>5600</v>
      </c>
      <c r="S56" s="5">
        <f>Revenue!S49*Assumptions!$G$15</f>
        <v>6400</v>
      </c>
      <c r="T56" s="5">
        <f>Revenue!T49*Assumptions!$G$15</f>
        <v>5600</v>
      </c>
      <c r="U56" s="5">
        <f>Revenue!U49*Assumptions!$G$15</f>
        <v>6400</v>
      </c>
      <c r="V56" s="5">
        <f>Revenue!V49*Assumptions!$G$15</f>
        <v>0</v>
      </c>
      <c r="W56" s="5">
        <f>Revenue!W49*Assumptions!$G$15</f>
        <v>0</v>
      </c>
      <c r="X56" s="5">
        <f>Revenue!X49*Assumptions!$G$15</f>
        <v>6400</v>
      </c>
      <c r="Y56" s="5">
        <f>Revenue!Y49*Assumptions!$G$15</f>
        <v>6400</v>
      </c>
      <c r="Z56" s="5">
        <f>Revenue!Z49*Assumptions!$G$15</f>
        <v>6400</v>
      </c>
      <c r="AA56" s="5">
        <f>Revenue!AA49*Assumptions!$G$15</f>
        <v>5600</v>
      </c>
      <c r="AB56" s="5">
        <f>Revenue!AB49*Assumptions!$G$15</f>
        <v>5600</v>
      </c>
      <c r="AC56" s="5">
        <f>Revenue!AC49*Assumptions!$G$15</f>
        <v>5600</v>
      </c>
      <c r="AD56" s="5">
        <f>Revenue!AD49*Assumptions!$G$15</f>
        <v>6400</v>
      </c>
      <c r="AE56" s="5">
        <f>Revenue!AE49*Assumptions!$G$15</f>
        <v>6400</v>
      </c>
      <c r="AF56" s="5">
        <f>Revenue!AF49*Assumptions!$G$15</f>
        <v>6400</v>
      </c>
      <c r="AG56" s="5">
        <f>Revenue!AG49*Assumptions!$G$15</f>
        <v>6400</v>
      </c>
      <c r="AH56" s="5">
        <f>Revenue!AH49*Assumptions!$G$15</f>
        <v>0</v>
      </c>
      <c r="AI56" s="5">
        <f>Revenue!AI49*Assumptions!$G$15</f>
        <v>0</v>
      </c>
      <c r="AJ56" s="5">
        <f>Revenue!AJ49*Assumptions!$G$15</f>
        <v>6400</v>
      </c>
      <c r="AK56" s="5">
        <f>Revenue!AK49*Assumptions!$G$15</f>
        <v>6400</v>
      </c>
      <c r="AL56" s="5">
        <f>Revenue!AL49*Assumptions!$G$15</f>
        <v>6400</v>
      </c>
      <c r="AM56" s="5">
        <f>Revenue!AM49*Assumptions!$G$15</f>
        <v>6400</v>
      </c>
    </row>
    <row r="57" spans="3:39" ht="23.1" customHeight="1">
      <c r="C57" s="4" t="s">
        <v>126</v>
      </c>
      <c r="D57" s="5">
        <f>Revenue!D50*Assumptions!$G$16</f>
        <v>0</v>
      </c>
      <c r="E57" s="5">
        <f>Revenue!E50*Assumptions!$G$16</f>
        <v>0</v>
      </c>
      <c r="F57" s="5">
        <f>Revenue!F50*Assumptions!$G$16</f>
        <v>0</v>
      </c>
      <c r="G57" s="5">
        <f>Revenue!G50*Assumptions!$G$16</f>
        <v>0</v>
      </c>
      <c r="H57" s="5">
        <f>Revenue!H50*Assumptions!$G$16</f>
        <v>0</v>
      </c>
      <c r="I57" s="5">
        <f>Revenue!I50*Assumptions!$G$16</f>
        <v>0</v>
      </c>
      <c r="J57" s="5">
        <f>Revenue!J50*Assumptions!$G$16</f>
        <v>0</v>
      </c>
      <c r="K57" s="5">
        <f>Revenue!K50*Assumptions!$G$16</f>
        <v>0</v>
      </c>
      <c r="L57" s="5">
        <f>Revenue!L50*Assumptions!$G$16</f>
        <v>0</v>
      </c>
      <c r="M57" s="5">
        <f>Revenue!M50*Assumptions!$G$16</f>
        <v>0</v>
      </c>
      <c r="N57" s="5">
        <f>Revenue!N50*Assumptions!$G$16</f>
        <v>0</v>
      </c>
      <c r="O57" s="5">
        <f>Revenue!O50*Assumptions!$G$16</f>
        <v>0</v>
      </c>
      <c r="P57" s="5">
        <f>Revenue!P50*Assumptions!$G$16</f>
        <v>0</v>
      </c>
      <c r="Q57" s="5">
        <f>Revenue!Q50*Assumptions!$G$16</f>
        <v>0</v>
      </c>
      <c r="R57" s="5">
        <f>Revenue!R50*Assumptions!$G$16</f>
        <v>0</v>
      </c>
      <c r="S57" s="5">
        <f>Revenue!S50*Assumptions!$G$16</f>
        <v>6000</v>
      </c>
      <c r="T57" s="5">
        <f>Revenue!T50*Assumptions!$G$16</f>
        <v>0</v>
      </c>
      <c r="U57" s="5">
        <f>Revenue!U50*Assumptions!$G$16</f>
        <v>6000</v>
      </c>
      <c r="V57" s="5">
        <f>Revenue!V50*Assumptions!$G$16</f>
        <v>0</v>
      </c>
      <c r="W57" s="5">
        <f>Revenue!W50*Assumptions!$G$16</f>
        <v>0</v>
      </c>
      <c r="X57" s="5">
        <f>Revenue!X50*Assumptions!$G$16</f>
        <v>6000</v>
      </c>
      <c r="Y57" s="5">
        <f>Revenue!Y50*Assumptions!$G$16</f>
        <v>6000</v>
      </c>
      <c r="Z57" s="5">
        <f>Revenue!Z50*Assumptions!$G$16</f>
        <v>6000</v>
      </c>
      <c r="AA57" s="5">
        <f>Revenue!AA50*Assumptions!$G$16</f>
        <v>0</v>
      </c>
      <c r="AB57" s="5">
        <f>Revenue!AB50*Assumptions!$G$16</f>
        <v>0</v>
      </c>
      <c r="AC57" s="5">
        <f>Revenue!AC50*Assumptions!$G$16</f>
        <v>0</v>
      </c>
      <c r="AD57" s="5">
        <f>Revenue!AD50*Assumptions!$G$16</f>
        <v>6000</v>
      </c>
      <c r="AE57" s="5">
        <f>Revenue!AE50*Assumptions!$G$16</f>
        <v>13000</v>
      </c>
      <c r="AF57" s="5">
        <f>Revenue!AF50*Assumptions!$G$16</f>
        <v>13000</v>
      </c>
      <c r="AG57" s="5">
        <f>Revenue!AG50*Assumptions!$G$16</f>
        <v>13000</v>
      </c>
      <c r="AH57" s="5">
        <f>Revenue!AH50*Assumptions!$G$16</f>
        <v>0</v>
      </c>
      <c r="AI57" s="5">
        <f>Revenue!AI50*Assumptions!$G$16</f>
        <v>0</v>
      </c>
      <c r="AJ57" s="5">
        <f>Revenue!AJ50*Assumptions!$G$16</f>
        <v>13000</v>
      </c>
      <c r="AK57" s="5">
        <f>Revenue!AK50*Assumptions!$G$16</f>
        <v>13000</v>
      </c>
      <c r="AL57" s="5">
        <f>Revenue!AL50*Assumptions!$G$16</f>
        <v>13000</v>
      </c>
      <c r="AM57" s="5">
        <f>Revenue!AM50*Assumptions!$G$16</f>
        <v>6000</v>
      </c>
    </row>
    <row r="58" spans="3:39" ht="23.1" customHeight="1">
      <c r="C58" s="4" t="s">
        <v>127</v>
      </c>
      <c r="D58" s="5">
        <f>Revenue!D44*Assumptions!$G$21</f>
        <v>0</v>
      </c>
      <c r="E58" s="5">
        <f>Revenue!E44*Assumptions!$G$21</f>
        <v>0</v>
      </c>
      <c r="F58" s="5">
        <f>Revenue!F44*Assumptions!$G$21</f>
        <v>700</v>
      </c>
      <c r="G58" s="5">
        <f>Revenue!G44*Assumptions!$G$21</f>
        <v>0</v>
      </c>
      <c r="H58" s="5">
        <f>Revenue!H44*Assumptions!$G$21</f>
        <v>700</v>
      </c>
      <c r="I58" s="5">
        <f>Revenue!I44*Assumptions!$G$21</f>
        <v>700</v>
      </c>
      <c r="J58" s="5">
        <f>Revenue!J44*Assumptions!$G$21</f>
        <v>0</v>
      </c>
      <c r="K58" s="5">
        <f>Revenue!K44*Assumptions!$G$21</f>
        <v>0</v>
      </c>
      <c r="L58" s="5">
        <f>Revenue!L44*Assumptions!$G$21</f>
        <v>700</v>
      </c>
      <c r="M58" s="5">
        <f>Revenue!M44*Assumptions!$G$21</f>
        <v>700</v>
      </c>
      <c r="N58" s="5">
        <f>Revenue!N44*Assumptions!$G$21</f>
        <v>700</v>
      </c>
      <c r="O58" s="5">
        <f>Revenue!O44*Assumptions!$G$21</f>
        <v>0</v>
      </c>
      <c r="P58" s="5">
        <f>Revenue!P44*Assumptions!$G$21</f>
        <v>0</v>
      </c>
      <c r="Q58" s="5">
        <f>Revenue!Q44*Assumptions!$G$21</f>
        <v>700</v>
      </c>
      <c r="R58" s="5">
        <f>Revenue!R44*Assumptions!$G$21</f>
        <v>700</v>
      </c>
      <c r="S58" s="5">
        <f>Revenue!S44*Assumptions!$G$21</f>
        <v>1400</v>
      </c>
      <c r="T58" s="5">
        <f>Revenue!T44*Assumptions!$G$21</f>
        <v>700</v>
      </c>
      <c r="U58" s="5">
        <f>Revenue!U44*Assumptions!$G$21</f>
        <v>1400</v>
      </c>
      <c r="V58" s="5">
        <f>Revenue!V44*Assumptions!$G$21</f>
        <v>0</v>
      </c>
      <c r="W58" s="5">
        <f>Revenue!W44*Assumptions!$G$21</f>
        <v>0</v>
      </c>
      <c r="X58" s="5">
        <f>Revenue!X44*Assumptions!$G$21</f>
        <v>1400</v>
      </c>
      <c r="Y58" s="5">
        <f>Revenue!Y44*Assumptions!$G$21</f>
        <v>1400</v>
      </c>
      <c r="Z58" s="5">
        <f>Revenue!Z44*Assumptions!$G$21</f>
        <v>1400</v>
      </c>
      <c r="AA58" s="5">
        <f>Revenue!AA44*Assumptions!$G$21</f>
        <v>700</v>
      </c>
      <c r="AB58" s="5">
        <f>Revenue!AB44*Assumptions!$G$21</f>
        <v>700</v>
      </c>
      <c r="AC58" s="5">
        <f>Revenue!AC44*Assumptions!$G$21</f>
        <v>700</v>
      </c>
      <c r="AD58" s="5">
        <f>Revenue!AD44*Assumptions!$G$21</f>
        <v>1400</v>
      </c>
      <c r="AE58" s="5">
        <f>Revenue!AE44*Assumptions!$G$21</f>
        <v>2100</v>
      </c>
      <c r="AF58" s="5">
        <f>Revenue!AF44*Assumptions!$G$21</f>
        <v>2100</v>
      </c>
      <c r="AG58" s="5">
        <f>Revenue!AG44*Assumptions!$G$21</f>
        <v>2100</v>
      </c>
      <c r="AH58" s="5">
        <f>Revenue!AH44*Assumptions!$G$21</f>
        <v>0</v>
      </c>
      <c r="AI58" s="5">
        <f>Revenue!AI44*Assumptions!$G$21</f>
        <v>0</v>
      </c>
      <c r="AJ58" s="5">
        <f>Revenue!AJ44*Assumptions!$G$21</f>
        <v>2100</v>
      </c>
      <c r="AK58" s="5">
        <f>Revenue!AK44*Assumptions!$G$21</f>
        <v>2100</v>
      </c>
      <c r="AL58" s="5">
        <f>Revenue!AL44*Assumptions!$G$21</f>
        <v>2100</v>
      </c>
      <c r="AM58" s="5">
        <f>Revenue!AM44*Assumptions!$G$21</f>
        <v>1400</v>
      </c>
    </row>
    <row r="59" spans="3:39" ht="23.1" customHeight="1">
      <c r="C59" s="4" t="s">
        <v>128</v>
      </c>
      <c r="D59" s="11">
        <f t="shared" ref="D59:AM59" si="6">SUM(D55:D58)</f>
        <v>0</v>
      </c>
      <c r="E59" s="11">
        <f t="shared" si="6"/>
        <v>0</v>
      </c>
      <c r="F59" s="11">
        <f t="shared" si="6"/>
        <v>8050</v>
      </c>
      <c r="G59" s="11">
        <f t="shared" si="6"/>
        <v>0</v>
      </c>
      <c r="H59" s="11">
        <f t="shared" si="6"/>
        <v>8050</v>
      </c>
      <c r="I59" s="11">
        <f t="shared" si="6"/>
        <v>8050</v>
      </c>
      <c r="J59" s="11">
        <f t="shared" si="6"/>
        <v>0</v>
      </c>
      <c r="K59" s="11">
        <f t="shared" si="6"/>
        <v>0</v>
      </c>
      <c r="L59" s="11">
        <f t="shared" si="6"/>
        <v>8050</v>
      </c>
      <c r="M59" s="11">
        <f t="shared" si="6"/>
        <v>8050</v>
      </c>
      <c r="N59" s="11">
        <f t="shared" si="6"/>
        <v>8050</v>
      </c>
      <c r="O59" s="11">
        <f t="shared" si="6"/>
        <v>0</v>
      </c>
      <c r="P59" s="11">
        <f t="shared" si="6"/>
        <v>0</v>
      </c>
      <c r="Q59" s="11">
        <f t="shared" si="6"/>
        <v>8050</v>
      </c>
      <c r="R59" s="11">
        <f t="shared" si="6"/>
        <v>8050</v>
      </c>
      <c r="S59" s="11">
        <f t="shared" si="6"/>
        <v>17300</v>
      </c>
      <c r="T59" s="11">
        <f t="shared" si="6"/>
        <v>8050</v>
      </c>
      <c r="U59" s="11">
        <f t="shared" si="6"/>
        <v>17300</v>
      </c>
      <c r="V59" s="11">
        <f t="shared" si="6"/>
        <v>0</v>
      </c>
      <c r="W59" s="11">
        <f t="shared" si="6"/>
        <v>0</v>
      </c>
      <c r="X59" s="11">
        <f t="shared" si="6"/>
        <v>17300</v>
      </c>
      <c r="Y59" s="11">
        <f t="shared" si="6"/>
        <v>17300</v>
      </c>
      <c r="Z59" s="11">
        <f t="shared" si="6"/>
        <v>17300</v>
      </c>
      <c r="AA59" s="11">
        <f t="shared" si="6"/>
        <v>8050</v>
      </c>
      <c r="AB59" s="11">
        <f t="shared" si="6"/>
        <v>8050</v>
      </c>
      <c r="AC59" s="11">
        <f t="shared" si="6"/>
        <v>8050</v>
      </c>
      <c r="AD59" s="11">
        <f t="shared" si="6"/>
        <v>17300</v>
      </c>
      <c r="AE59" s="11">
        <f t="shared" si="6"/>
        <v>26750</v>
      </c>
      <c r="AF59" s="11">
        <f t="shared" si="6"/>
        <v>26750</v>
      </c>
      <c r="AG59" s="11">
        <f t="shared" si="6"/>
        <v>26750</v>
      </c>
      <c r="AH59" s="11">
        <f t="shared" si="6"/>
        <v>0</v>
      </c>
      <c r="AI59" s="11">
        <f t="shared" si="6"/>
        <v>0</v>
      </c>
      <c r="AJ59" s="11">
        <f t="shared" si="6"/>
        <v>26750</v>
      </c>
      <c r="AK59" s="11">
        <f t="shared" si="6"/>
        <v>26750</v>
      </c>
      <c r="AL59" s="11">
        <f t="shared" si="6"/>
        <v>26750</v>
      </c>
      <c r="AM59" s="11">
        <f t="shared" si="6"/>
        <v>17300</v>
      </c>
    </row>
    <row r="60" spans="3:39" ht="23.1" customHeight="1">
      <c r="C60" s="4" t="s">
        <v>129</v>
      </c>
      <c r="D60" s="5">
        <f>Assumptions!$G$22</f>
        <v>8000</v>
      </c>
      <c r="E60" s="5">
        <f>Assumptions!$G$22</f>
        <v>8000</v>
      </c>
      <c r="F60" s="5">
        <f>Assumptions!$G$22</f>
        <v>8000</v>
      </c>
      <c r="G60" s="5">
        <f>Assumptions!$G$22</f>
        <v>8000</v>
      </c>
      <c r="H60" s="5">
        <f>Assumptions!$G$22</f>
        <v>8000</v>
      </c>
      <c r="I60" s="5">
        <f>Assumptions!$G$22</f>
        <v>8000</v>
      </c>
      <c r="J60" s="5">
        <f>Assumptions!$G$22</f>
        <v>8000</v>
      </c>
      <c r="K60" s="5">
        <f>Assumptions!$G$22</f>
        <v>8000</v>
      </c>
      <c r="L60" s="5">
        <f>Assumptions!$G$22</f>
        <v>8000</v>
      </c>
      <c r="M60" s="5">
        <f>Assumptions!$G$22</f>
        <v>8000</v>
      </c>
      <c r="N60" s="5">
        <f>Assumptions!$G$22</f>
        <v>8000</v>
      </c>
      <c r="O60" s="5">
        <f>Assumptions!$G$22</f>
        <v>8000</v>
      </c>
      <c r="P60" s="5">
        <f>Assumptions!$G$22</f>
        <v>8000</v>
      </c>
      <c r="Q60" s="5">
        <f>Assumptions!$G$22</f>
        <v>8000</v>
      </c>
      <c r="R60" s="5">
        <f>Assumptions!$G$22</f>
        <v>8000</v>
      </c>
      <c r="S60" s="5">
        <f>Assumptions!$G$22</f>
        <v>8000</v>
      </c>
      <c r="T60" s="5">
        <f>Assumptions!$G$22</f>
        <v>8000</v>
      </c>
      <c r="U60" s="5">
        <f>Assumptions!$G$22</f>
        <v>8000</v>
      </c>
      <c r="V60" s="5">
        <f>Assumptions!$G$22</f>
        <v>8000</v>
      </c>
      <c r="W60" s="5">
        <f>Assumptions!$G$22</f>
        <v>8000</v>
      </c>
      <c r="X60" s="5">
        <f>Assumptions!$G$22</f>
        <v>8000</v>
      </c>
      <c r="Y60" s="5">
        <f>Assumptions!$G$22</f>
        <v>8000</v>
      </c>
      <c r="Z60" s="5">
        <f>Assumptions!$G$22</f>
        <v>8000</v>
      </c>
      <c r="AA60" s="5">
        <f>Assumptions!$G$22</f>
        <v>8000</v>
      </c>
      <c r="AB60" s="5">
        <f>Assumptions!$G$22</f>
        <v>8000</v>
      </c>
      <c r="AC60" s="5">
        <f>Assumptions!$G$22</f>
        <v>8000</v>
      </c>
      <c r="AD60" s="5">
        <f>Assumptions!$G$22</f>
        <v>8000</v>
      </c>
      <c r="AE60" s="5">
        <f>Assumptions!$G$22</f>
        <v>8000</v>
      </c>
      <c r="AF60" s="5">
        <f>Assumptions!$G$22</f>
        <v>8000</v>
      </c>
      <c r="AG60" s="5">
        <f>Assumptions!$G$22</f>
        <v>8000</v>
      </c>
      <c r="AH60" s="5">
        <f>Assumptions!$G$22</f>
        <v>8000</v>
      </c>
      <c r="AI60" s="5">
        <f>Assumptions!$G$22</f>
        <v>8000</v>
      </c>
      <c r="AJ60" s="5">
        <f>Assumptions!$G$22</f>
        <v>8000</v>
      </c>
      <c r="AK60" s="5">
        <f>Assumptions!$G$22</f>
        <v>8000</v>
      </c>
      <c r="AL60" s="5">
        <f>Assumptions!$G$22</f>
        <v>8000</v>
      </c>
      <c r="AM60" s="5">
        <f>Assumptions!$G$22</f>
        <v>8000</v>
      </c>
    </row>
    <row r="61" spans="3:39" ht="23.1" customHeight="1">
      <c r="C61" s="4" t="s">
        <v>130</v>
      </c>
      <c r="D61" s="5">
        <f>Assumptions!$G$23</f>
        <v>2500</v>
      </c>
      <c r="E61" s="5">
        <f>Assumptions!$G$23</f>
        <v>2500</v>
      </c>
      <c r="F61" s="5">
        <f>Assumptions!$G$23</f>
        <v>2500</v>
      </c>
      <c r="G61" s="5">
        <f>Assumptions!$G$23</f>
        <v>2500</v>
      </c>
      <c r="H61" s="5">
        <f>Assumptions!$G$23</f>
        <v>2500</v>
      </c>
      <c r="I61" s="5">
        <f>Assumptions!$G$23</f>
        <v>2500</v>
      </c>
      <c r="J61" s="5">
        <f>Assumptions!$G$23</f>
        <v>2500</v>
      </c>
      <c r="K61" s="5">
        <f>Assumptions!$G$23</f>
        <v>2500</v>
      </c>
      <c r="L61" s="5">
        <f>Assumptions!$G$23</f>
        <v>2500</v>
      </c>
      <c r="M61" s="5">
        <f>Assumptions!$G$23</f>
        <v>2500</v>
      </c>
      <c r="N61" s="5">
        <f>Assumptions!$G$23</f>
        <v>2500</v>
      </c>
      <c r="O61" s="5">
        <f>Assumptions!$G$23</f>
        <v>2500</v>
      </c>
      <c r="P61" s="5">
        <f>Assumptions!$G$23</f>
        <v>2500</v>
      </c>
      <c r="Q61" s="5">
        <f>Assumptions!$G$23</f>
        <v>2500</v>
      </c>
      <c r="R61" s="5">
        <f>Assumptions!$G$23</f>
        <v>2500</v>
      </c>
      <c r="S61" s="5">
        <f>Assumptions!$G$23</f>
        <v>2500</v>
      </c>
      <c r="T61" s="5">
        <f>Assumptions!$G$23</f>
        <v>2500</v>
      </c>
      <c r="U61" s="5">
        <f>Assumptions!$G$23</f>
        <v>2500</v>
      </c>
      <c r="V61" s="5">
        <f>Assumptions!$G$23</f>
        <v>2500</v>
      </c>
      <c r="W61" s="5">
        <f>Assumptions!$G$23</f>
        <v>2500</v>
      </c>
      <c r="X61" s="5">
        <f>Assumptions!$G$23</f>
        <v>2500</v>
      </c>
      <c r="Y61" s="5">
        <f>Assumptions!$G$23</f>
        <v>2500</v>
      </c>
      <c r="Z61" s="5">
        <f>Assumptions!$G$23</f>
        <v>2500</v>
      </c>
      <c r="AA61" s="5">
        <f>Assumptions!$G$23</f>
        <v>2500</v>
      </c>
      <c r="AB61" s="5">
        <f>Assumptions!$G$23</f>
        <v>2500</v>
      </c>
      <c r="AC61" s="5">
        <f>Assumptions!$G$23</f>
        <v>2500</v>
      </c>
      <c r="AD61" s="5">
        <f>Assumptions!$G$23</f>
        <v>2500</v>
      </c>
      <c r="AE61" s="5">
        <f>Assumptions!$G$23</f>
        <v>2500</v>
      </c>
      <c r="AF61" s="5">
        <f>Assumptions!$G$23</f>
        <v>2500</v>
      </c>
      <c r="AG61" s="5">
        <f>Assumptions!$G$23</f>
        <v>2500</v>
      </c>
      <c r="AH61" s="5">
        <f>Assumptions!$G$23</f>
        <v>2500</v>
      </c>
      <c r="AI61" s="5">
        <f>Assumptions!$G$23</f>
        <v>2500</v>
      </c>
      <c r="AJ61" s="5">
        <f>Assumptions!$G$23</f>
        <v>2500</v>
      </c>
      <c r="AK61" s="5">
        <f>Assumptions!$G$23</f>
        <v>2500</v>
      </c>
      <c r="AL61" s="5">
        <f>Assumptions!$G$23</f>
        <v>2500</v>
      </c>
      <c r="AM61" s="5">
        <f>Assumptions!$G$23</f>
        <v>2500</v>
      </c>
    </row>
    <row r="62" spans="3:39" ht="23.1" customHeight="1">
      <c r="C62" s="4" t="s">
        <v>100</v>
      </c>
      <c r="D62" s="5">
        <f>Revenue!D45*Assumptions!$G$29</f>
        <v>0</v>
      </c>
      <c r="E62" s="5">
        <f>Revenue!E45*Assumptions!$G$29</f>
        <v>0</v>
      </c>
      <c r="F62" s="5">
        <f>Revenue!F45*Assumptions!$G$29</f>
        <v>440</v>
      </c>
      <c r="G62" s="5">
        <f>Revenue!G45*Assumptions!$G$29</f>
        <v>0</v>
      </c>
      <c r="H62" s="5">
        <f>Revenue!H45*Assumptions!$G$29</f>
        <v>440</v>
      </c>
      <c r="I62" s="5">
        <f>Revenue!I45*Assumptions!$G$29</f>
        <v>440</v>
      </c>
      <c r="J62" s="5">
        <f>Revenue!J45*Assumptions!$G$29</f>
        <v>0</v>
      </c>
      <c r="K62" s="5">
        <f>Revenue!K45*Assumptions!$G$29</f>
        <v>0</v>
      </c>
      <c r="L62" s="5">
        <f>Revenue!L45*Assumptions!$G$29</f>
        <v>440</v>
      </c>
      <c r="M62" s="5">
        <f>Revenue!M45*Assumptions!$G$29</f>
        <v>440</v>
      </c>
      <c r="N62" s="5">
        <f>Revenue!N45*Assumptions!$G$29</f>
        <v>440</v>
      </c>
      <c r="O62" s="5">
        <f>Revenue!O45*Assumptions!$G$29</f>
        <v>0</v>
      </c>
      <c r="P62" s="5">
        <f>Revenue!P45*Assumptions!$G$29</f>
        <v>0</v>
      </c>
      <c r="Q62" s="5">
        <f>Revenue!Q45*Assumptions!$G$29</f>
        <v>440</v>
      </c>
      <c r="R62" s="5">
        <f>Revenue!R45*Assumptions!$G$29</f>
        <v>440</v>
      </c>
      <c r="S62" s="5">
        <f>Revenue!S45*Assumptions!$G$29</f>
        <v>880</v>
      </c>
      <c r="T62" s="5">
        <f>Revenue!T45*Assumptions!$G$29</f>
        <v>440</v>
      </c>
      <c r="U62" s="5">
        <f>Revenue!U45*Assumptions!$G$29</f>
        <v>880</v>
      </c>
      <c r="V62" s="5">
        <f>Revenue!V45*Assumptions!$G$29</f>
        <v>0</v>
      </c>
      <c r="W62" s="5">
        <f>Revenue!W45*Assumptions!$G$29</f>
        <v>0</v>
      </c>
      <c r="X62" s="5">
        <f>Revenue!X45*Assumptions!$G$29</f>
        <v>880</v>
      </c>
      <c r="Y62" s="5">
        <f>Revenue!Y45*Assumptions!$G$29</f>
        <v>880</v>
      </c>
      <c r="Z62" s="5">
        <f>Revenue!Z45*Assumptions!$G$29</f>
        <v>880</v>
      </c>
      <c r="AA62" s="5">
        <f>Revenue!AA45*Assumptions!$G$29</f>
        <v>440</v>
      </c>
      <c r="AB62" s="5">
        <f>Revenue!AB45*Assumptions!$G$29</f>
        <v>440</v>
      </c>
      <c r="AC62" s="5">
        <f>Revenue!AC45*Assumptions!$G$29</f>
        <v>440</v>
      </c>
      <c r="AD62" s="5">
        <f>Revenue!AD45*Assumptions!$G$29</f>
        <v>880</v>
      </c>
      <c r="AE62" s="5">
        <f>Revenue!AE45*Assumptions!$G$29</f>
        <v>1320</v>
      </c>
      <c r="AF62" s="5">
        <f>Revenue!AF45*Assumptions!$G$29</f>
        <v>1320</v>
      </c>
      <c r="AG62" s="5">
        <f>Revenue!AG45*Assumptions!$G$29</f>
        <v>1320</v>
      </c>
      <c r="AH62" s="5">
        <f>Revenue!AH45*Assumptions!$G$29</f>
        <v>0</v>
      </c>
      <c r="AI62" s="5">
        <f>Revenue!AI45*Assumptions!$G$29</f>
        <v>0</v>
      </c>
      <c r="AJ62" s="5">
        <f>Revenue!AJ45*Assumptions!$G$29</f>
        <v>1320</v>
      </c>
      <c r="AK62" s="5">
        <f>Revenue!AK45*Assumptions!$G$29</f>
        <v>1320</v>
      </c>
      <c r="AL62" s="5">
        <f>Revenue!AL45*Assumptions!$G$29</f>
        <v>1320</v>
      </c>
      <c r="AM62" s="5">
        <f>Revenue!AM45*Assumptions!$G$29</f>
        <v>880</v>
      </c>
    </row>
    <row r="63" spans="3:39" ht="23.1" customHeight="1">
      <c r="C63" s="4" t="s">
        <v>131</v>
      </c>
      <c r="D63" s="5">
        <f>Assumptions!$G$24</f>
        <v>12000</v>
      </c>
      <c r="E63" s="11">
        <f>0</f>
        <v>0</v>
      </c>
      <c r="F63" s="11">
        <f>0</f>
        <v>0</v>
      </c>
      <c r="G63" s="11">
        <f>0</f>
        <v>0</v>
      </c>
      <c r="H63" s="11">
        <f>0</f>
        <v>0</v>
      </c>
      <c r="I63" s="11">
        <f>0</f>
        <v>0</v>
      </c>
      <c r="J63" s="11">
        <f>0</f>
        <v>0</v>
      </c>
      <c r="K63" s="11">
        <f>0</f>
        <v>0</v>
      </c>
      <c r="L63" s="11">
        <f>0</f>
        <v>0</v>
      </c>
      <c r="M63" s="11">
        <f>0</f>
        <v>0</v>
      </c>
      <c r="N63" s="11">
        <f>0</f>
        <v>0</v>
      </c>
      <c r="O63" s="11">
        <f>0</f>
        <v>0</v>
      </c>
      <c r="P63" s="11">
        <f>0</f>
        <v>0</v>
      </c>
      <c r="Q63" s="11">
        <f>0</f>
        <v>0</v>
      </c>
      <c r="R63" s="11">
        <f>0</f>
        <v>0</v>
      </c>
      <c r="S63" s="11">
        <f>0</f>
        <v>0</v>
      </c>
      <c r="T63" s="11">
        <f>0</f>
        <v>0</v>
      </c>
      <c r="U63" s="11">
        <f>0</f>
        <v>0</v>
      </c>
      <c r="V63" s="11">
        <f>0</f>
        <v>0</v>
      </c>
      <c r="W63" s="11">
        <f>0</f>
        <v>0</v>
      </c>
      <c r="X63" s="11">
        <f>0</f>
        <v>0</v>
      </c>
      <c r="Y63" s="11">
        <f>0</f>
        <v>0</v>
      </c>
      <c r="Z63" s="11">
        <f>0</f>
        <v>0</v>
      </c>
      <c r="AA63" s="11">
        <f>0</f>
        <v>0</v>
      </c>
      <c r="AB63" s="11">
        <f>0</f>
        <v>0</v>
      </c>
      <c r="AC63" s="11">
        <f>0</f>
        <v>0</v>
      </c>
      <c r="AD63" s="11">
        <f>0</f>
        <v>0</v>
      </c>
      <c r="AE63" s="11">
        <f>0</f>
        <v>0</v>
      </c>
      <c r="AF63" s="11">
        <f>0</f>
        <v>0</v>
      </c>
      <c r="AG63" s="11">
        <f>0</f>
        <v>0</v>
      </c>
      <c r="AH63" s="11">
        <f>0</f>
        <v>0</v>
      </c>
      <c r="AI63" s="11">
        <f>0</f>
        <v>0</v>
      </c>
      <c r="AJ63" s="11">
        <f>0</f>
        <v>0</v>
      </c>
      <c r="AK63" s="11">
        <f>0</f>
        <v>0</v>
      </c>
      <c r="AL63" s="11">
        <f>0</f>
        <v>0</v>
      </c>
      <c r="AM63" s="11">
        <f>0</f>
        <v>0</v>
      </c>
    </row>
    <row r="64" spans="3:39" ht="23.1" customHeight="1">
      <c r="C64" s="4" t="s">
        <v>132</v>
      </c>
      <c r="D64" s="5">
        <f>IF(0&lt;Assumptions!$G$25,Assumptions!$G$24/Assumptions!$G$25,0)</f>
        <v>333.33333333333331</v>
      </c>
      <c r="E64" s="5">
        <f>IF(1&lt;Assumptions!$G$25,Assumptions!$G$24/Assumptions!$G$25,0)</f>
        <v>333.33333333333331</v>
      </c>
      <c r="F64" s="5">
        <f>IF(2&lt;Assumptions!$G$25,Assumptions!$G$24/Assumptions!$G$25,0)</f>
        <v>333.33333333333331</v>
      </c>
      <c r="G64" s="5">
        <f>IF(3&lt;Assumptions!$G$25,Assumptions!$G$24/Assumptions!$G$25,0)</f>
        <v>333.33333333333331</v>
      </c>
      <c r="H64" s="5">
        <f>IF(4&lt;Assumptions!$G$25,Assumptions!$G$24/Assumptions!$G$25,0)</f>
        <v>333.33333333333331</v>
      </c>
      <c r="I64" s="5">
        <f>IF(5&lt;Assumptions!$G$25,Assumptions!$G$24/Assumptions!$G$25,0)</f>
        <v>333.33333333333331</v>
      </c>
      <c r="J64" s="5">
        <f>IF(6&lt;Assumptions!$G$25,Assumptions!$G$24/Assumptions!$G$25,0)</f>
        <v>333.33333333333331</v>
      </c>
      <c r="K64" s="5">
        <f>IF(7&lt;Assumptions!$G$25,Assumptions!$G$24/Assumptions!$G$25,0)</f>
        <v>333.33333333333331</v>
      </c>
      <c r="L64" s="5">
        <f>IF(8&lt;Assumptions!$G$25,Assumptions!$G$24/Assumptions!$G$25,0)</f>
        <v>333.33333333333331</v>
      </c>
      <c r="M64" s="5">
        <f>IF(9&lt;Assumptions!$G$25,Assumptions!$G$24/Assumptions!$G$25,0)</f>
        <v>333.33333333333331</v>
      </c>
      <c r="N64" s="5">
        <f>IF(10&lt;Assumptions!$G$25,Assumptions!$G$24/Assumptions!$G$25,0)</f>
        <v>333.33333333333331</v>
      </c>
      <c r="O64" s="5">
        <f>IF(11&lt;Assumptions!$G$25,Assumptions!$G$24/Assumptions!$G$25,0)</f>
        <v>333.33333333333331</v>
      </c>
      <c r="P64" s="5">
        <f>IF(12&lt;Assumptions!$G$25,Assumptions!$G$24/Assumptions!$G$25,0)</f>
        <v>333.33333333333331</v>
      </c>
      <c r="Q64" s="5">
        <f>IF(13&lt;Assumptions!$G$25,Assumptions!$G$24/Assumptions!$G$25,0)</f>
        <v>333.33333333333331</v>
      </c>
      <c r="R64" s="5">
        <f>IF(14&lt;Assumptions!$G$25,Assumptions!$G$24/Assumptions!$G$25,0)</f>
        <v>333.33333333333331</v>
      </c>
      <c r="S64" s="5">
        <f>IF(15&lt;Assumptions!$G$25,Assumptions!$G$24/Assumptions!$G$25,0)</f>
        <v>333.33333333333331</v>
      </c>
      <c r="T64" s="5">
        <f>IF(16&lt;Assumptions!$G$25,Assumptions!$G$24/Assumptions!$G$25,0)</f>
        <v>333.33333333333331</v>
      </c>
      <c r="U64" s="5">
        <f>IF(17&lt;Assumptions!$G$25,Assumptions!$G$24/Assumptions!$G$25,0)</f>
        <v>333.33333333333331</v>
      </c>
      <c r="V64" s="5">
        <f>IF(18&lt;Assumptions!$G$25,Assumptions!$G$24/Assumptions!$G$25,0)</f>
        <v>333.33333333333331</v>
      </c>
      <c r="W64" s="5">
        <f>IF(19&lt;Assumptions!$G$25,Assumptions!$G$24/Assumptions!$G$25,0)</f>
        <v>333.33333333333331</v>
      </c>
      <c r="X64" s="5">
        <f>IF(20&lt;Assumptions!$G$25,Assumptions!$G$24/Assumptions!$G$25,0)</f>
        <v>333.33333333333331</v>
      </c>
      <c r="Y64" s="5">
        <f>IF(21&lt;Assumptions!$G$25,Assumptions!$G$24/Assumptions!$G$25,0)</f>
        <v>333.33333333333331</v>
      </c>
      <c r="Z64" s="5">
        <f>IF(22&lt;Assumptions!$G$25,Assumptions!$G$24/Assumptions!$G$25,0)</f>
        <v>333.33333333333331</v>
      </c>
      <c r="AA64" s="5">
        <f>IF(23&lt;Assumptions!$G$25,Assumptions!$G$24/Assumptions!$G$25,0)</f>
        <v>333.33333333333331</v>
      </c>
      <c r="AB64" s="5">
        <f>IF(24&lt;Assumptions!$G$25,Assumptions!$G$24/Assumptions!$G$25,0)</f>
        <v>333.33333333333331</v>
      </c>
      <c r="AC64" s="5">
        <f>IF(25&lt;Assumptions!$G$25,Assumptions!$G$24/Assumptions!$G$25,0)</f>
        <v>333.33333333333331</v>
      </c>
      <c r="AD64" s="5">
        <f>IF(26&lt;Assumptions!$G$25,Assumptions!$G$24/Assumptions!$G$25,0)</f>
        <v>333.33333333333331</v>
      </c>
      <c r="AE64" s="5">
        <f>IF(27&lt;Assumptions!$G$25,Assumptions!$G$24/Assumptions!$G$25,0)</f>
        <v>333.33333333333331</v>
      </c>
      <c r="AF64" s="5">
        <f>IF(28&lt;Assumptions!$G$25,Assumptions!$G$24/Assumptions!$G$25,0)</f>
        <v>333.33333333333331</v>
      </c>
      <c r="AG64" s="5">
        <f>IF(29&lt;Assumptions!$G$25,Assumptions!$G$24/Assumptions!$G$25,0)</f>
        <v>333.33333333333331</v>
      </c>
      <c r="AH64" s="5">
        <f>IF(30&lt;Assumptions!$G$25,Assumptions!$G$24/Assumptions!$G$25,0)</f>
        <v>333.33333333333331</v>
      </c>
      <c r="AI64" s="5">
        <f>IF(31&lt;Assumptions!$G$25,Assumptions!$G$24/Assumptions!$G$25,0)</f>
        <v>333.33333333333331</v>
      </c>
      <c r="AJ64" s="5">
        <f>IF(32&lt;Assumptions!$G$25,Assumptions!$G$24/Assumptions!$G$25,0)</f>
        <v>333.33333333333331</v>
      </c>
      <c r="AK64" s="5">
        <f>IF(33&lt;Assumptions!$G$25,Assumptions!$G$24/Assumptions!$G$25,0)</f>
        <v>333.33333333333331</v>
      </c>
      <c r="AL64" s="5">
        <f>IF(34&lt;Assumptions!$G$25,Assumptions!$G$24/Assumptions!$G$25,0)</f>
        <v>333.33333333333331</v>
      </c>
      <c r="AM64" s="5">
        <f>IF(35&lt;Assumptions!$G$25,Assumptions!$G$24/Assumptions!$G$25,0)</f>
        <v>333.33333333333331</v>
      </c>
    </row>
    <row r="65" spans="3:39" ht="23.1" customHeight="1">
      <c r="C65" s="4" t="s">
        <v>133</v>
      </c>
      <c r="D65" s="11">
        <f t="shared" ref="D65:AM65" si="7">D59+SUM(D60:D62)+D64</f>
        <v>10833.333333333334</v>
      </c>
      <c r="E65" s="11">
        <f t="shared" si="7"/>
        <v>10833.333333333334</v>
      </c>
      <c r="F65" s="11">
        <f t="shared" si="7"/>
        <v>19323.333333333332</v>
      </c>
      <c r="G65" s="11">
        <f t="shared" si="7"/>
        <v>10833.333333333334</v>
      </c>
      <c r="H65" s="11">
        <f t="shared" si="7"/>
        <v>19323.333333333332</v>
      </c>
      <c r="I65" s="11">
        <f t="shared" si="7"/>
        <v>19323.333333333332</v>
      </c>
      <c r="J65" s="11">
        <f t="shared" si="7"/>
        <v>10833.333333333334</v>
      </c>
      <c r="K65" s="11">
        <f t="shared" si="7"/>
        <v>10833.333333333334</v>
      </c>
      <c r="L65" s="11">
        <f t="shared" si="7"/>
        <v>19323.333333333332</v>
      </c>
      <c r="M65" s="11">
        <f t="shared" si="7"/>
        <v>19323.333333333332</v>
      </c>
      <c r="N65" s="11">
        <f t="shared" si="7"/>
        <v>19323.333333333332</v>
      </c>
      <c r="O65" s="11">
        <f t="shared" si="7"/>
        <v>10833.333333333334</v>
      </c>
      <c r="P65" s="11">
        <f t="shared" si="7"/>
        <v>10833.333333333334</v>
      </c>
      <c r="Q65" s="11">
        <f t="shared" si="7"/>
        <v>19323.333333333332</v>
      </c>
      <c r="R65" s="11">
        <f t="shared" si="7"/>
        <v>19323.333333333332</v>
      </c>
      <c r="S65" s="11">
        <f t="shared" si="7"/>
        <v>29013.333333333332</v>
      </c>
      <c r="T65" s="11">
        <f t="shared" si="7"/>
        <v>19323.333333333332</v>
      </c>
      <c r="U65" s="11">
        <f t="shared" si="7"/>
        <v>29013.333333333332</v>
      </c>
      <c r="V65" s="11">
        <f t="shared" si="7"/>
        <v>10833.333333333334</v>
      </c>
      <c r="W65" s="11">
        <f t="shared" si="7"/>
        <v>10833.333333333334</v>
      </c>
      <c r="X65" s="11">
        <f t="shared" si="7"/>
        <v>29013.333333333332</v>
      </c>
      <c r="Y65" s="11">
        <f t="shared" si="7"/>
        <v>29013.333333333332</v>
      </c>
      <c r="Z65" s="11">
        <f t="shared" si="7"/>
        <v>29013.333333333332</v>
      </c>
      <c r="AA65" s="11">
        <f t="shared" si="7"/>
        <v>19323.333333333332</v>
      </c>
      <c r="AB65" s="11">
        <f t="shared" si="7"/>
        <v>19323.333333333332</v>
      </c>
      <c r="AC65" s="11">
        <f t="shared" si="7"/>
        <v>19323.333333333332</v>
      </c>
      <c r="AD65" s="11">
        <f t="shared" si="7"/>
        <v>29013.333333333332</v>
      </c>
      <c r="AE65" s="11">
        <f t="shared" si="7"/>
        <v>38903.333333333336</v>
      </c>
      <c r="AF65" s="11">
        <f t="shared" si="7"/>
        <v>38903.333333333336</v>
      </c>
      <c r="AG65" s="11">
        <f t="shared" si="7"/>
        <v>38903.333333333336</v>
      </c>
      <c r="AH65" s="11">
        <f t="shared" si="7"/>
        <v>10833.333333333334</v>
      </c>
      <c r="AI65" s="11">
        <f t="shared" si="7"/>
        <v>10833.333333333334</v>
      </c>
      <c r="AJ65" s="11">
        <f t="shared" si="7"/>
        <v>38903.333333333336</v>
      </c>
      <c r="AK65" s="11">
        <f t="shared" si="7"/>
        <v>38903.333333333336</v>
      </c>
      <c r="AL65" s="11">
        <f t="shared" si="7"/>
        <v>38903.333333333336</v>
      </c>
      <c r="AM65" s="11">
        <f t="shared" si="7"/>
        <v>29013.333333333332</v>
      </c>
    </row>
    <row r="66" spans="3:39" ht="23.1" customHeight="1">
      <c r="C66" s="4" t="s">
        <v>134</v>
      </c>
      <c r="D66" s="11">
        <f t="shared" ref="D66:AM66" si="8">D65-D64</f>
        <v>10500</v>
      </c>
      <c r="E66" s="11">
        <f t="shared" si="8"/>
        <v>10500</v>
      </c>
      <c r="F66" s="11">
        <f t="shared" si="8"/>
        <v>18990</v>
      </c>
      <c r="G66" s="11">
        <f t="shared" si="8"/>
        <v>10500</v>
      </c>
      <c r="H66" s="11">
        <f t="shared" si="8"/>
        <v>18990</v>
      </c>
      <c r="I66" s="11">
        <f t="shared" si="8"/>
        <v>18990</v>
      </c>
      <c r="J66" s="11">
        <f t="shared" si="8"/>
        <v>10500</v>
      </c>
      <c r="K66" s="11">
        <f t="shared" si="8"/>
        <v>10500</v>
      </c>
      <c r="L66" s="11">
        <f t="shared" si="8"/>
        <v>18990</v>
      </c>
      <c r="M66" s="11">
        <f t="shared" si="8"/>
        <v>18990</v>
      </c>
      <c r="N66" s="11">
        <f t="shared" si="8"/>
        <v>18990</v>
      </c>
      <c r="O66" s="11">
        <f t="shared" si="8"/>
        <v>10500</v>
      </c>
      <c r="P66" s="11">
        <f t="shared" si="8"/>
        <v>10500</v>
      </c>
      <c r="Q66" s="11">
        <f t="shared" si="8"/>
        <v>18990</v>
      </c>
      <c r="R66" s="11">
        <f t="shared" si="8"/>
        <v>18990</v>
      </c>
      <c r="S66" s="11">
        <f t="shared" si="8"/>
        <v>28680</v>
      </c>
      <c r="T66" s="11">
        <f t="shared" si="8"/>
        <v>18990</v>
      </c>
      <c r="U66" s="11">
        <f t="shared" si="8"/>
        <v>28680</v>
      </c>
      <c r="V66" s="11">
        <f t="shared" si="8"/>
        <v>10500</v>
      </c>
      <c r="W66" s="11">
        <f t="shared" si="8"/>
        <v>10500</v>
      </c>
      <c r="X66" s="11">
        <f t="shared" si="8"/>
        <v>28680</v>
      </c>
      <c r="Y66" s="11">
        <f t="shared" si="8"/>
        <v>28680</v>
      </c>
      <c r="Z66" s="11">
        <f t="shared" si="8"/>
        <v>28680</v>
      </c>
      <c r="AA66" s="11">
        <f t="shared" si="8"/>
        <v>18990</v>
      </c>
      <c r="AB66" s="11">
        <f t="shared" si="8"/>
        <v>18990</v>
      </c>
      <c r="AC66" s="11">
        <f t="shared" si="8"/>
        <v>18990</v>
      </c>
      <c r="AD66" s="11">
        <f t="shared" si="8"/>
        <v>28680</v>
      </c>
      <c r="AE66" s="11">
        <f t="shared" si="8"/>
        <v>38570</v>
      </c>
      <c r="AF66" s="11">
        <f t="shared" si="8"/>
        <v>38570</v>
      </c>
      <c r="AG66" s="11">
        <f t="shared" si="8"/>
        <v>38570</v>
      </c>
      <c r="AH66" s="11">
        <f t="shared" si="8"/>
        <v>10500</v>
      </c>
      <c r="AI66" s="11">
        <f t="shared" si="8"/>
        <v>10500</v>
      </c>
      <c r="AJ66" s="11">
        <f t="shared" si="8"/>
        <v>38570</v>
      </c>
      <c r="AK66" s="11">
        <f t="shared" si="8"/>
        <v>38570</v>
      </c>
      <c r="AL66" s="11">
        <f t="shared" si="8"/>
        <v>38570</v>
      </c>
      <c r="AM66" s="11">
        <f t="shared" si="8"/>
        <v>28680</v>
      </c>
    </row>
    <row r="67" spans="3:39" ht="23.1" customHeight="1">
      <c r="C67" s="4" t="s">
        <v>12</v>
      </c>
      <c r="D67" s="5">
        <f>Revenue!D45-D65</f>
        <v>-10833.333333333334</v>
      </c>
      <c r="E67" s="5">
        <f>Revenue!E45-E65</f>
        <v>-10833.333333333334</v>
      </c>
      <c r="F67" s="5">
        <f>Revenue!F45-F65</f>
        <v>2676.6666666666679</v>
      </c>
      <c r="G67" s="5">
        <f>Revenue!G45-G65</f>
        <v>-10833.333333333334</v>
      </c>
      <c r="H67" s="5">
        <f>Revenue!H45-H65</f>
        <v>2676.6666666666679</v>
      </c>
      <c r="I67" s="5">
        <f>Revenue!I45-I65</f>
        <v>2676.6666666666679</v>
      </c>
      <c r="J67" s="5">
        <f>Revenue!J45-J65</f>
        <v>-10833.333333333334</v>
      </c>
      <c r="K67" s="5">
        <f>Revenue!K45-K65</f>
        <v>-10833.333333333334</v>
      </c>
      <c r="L67" s="5">
        <f>Revenue!L45-L65</f>
        <v>2676.6666666666679</v>
      </c>
      <c r="M67" s="5">
        <f>Revenue!M45-M65</f>
        <v>2676.6666666666679</v>
      </c>
      <c r="N67" s="5">
        <f>Revenue!N45-N65</f>
        <v>2676.6666666666679</v>
      </c>
      <c r="O67" s="5">
        <f>Revenue!O45-O65</f>
        <v>-10833.333333333334</v>
      </c>
      <c r="P67" s="5">
        <f>Revenue!P45-P65</f>
        <v>-10833.333333333334</v>
      </c>
      <c r="Q67" s="5">
        <f>Revenue!Q45-Q65</f>
        <v>2676.6666666666679</v>
      </c>
      <c r="R67" s="5">
        <f>Revenue!R45-R65</f>
        <v>2676.6666666666679</v>
      </c>
      <c r="S67" s="5">
        <f>Revenue!S45-S65</f>
        <v>14986.666666666668</v>
      </c>
      <c r="T67" s="5">
        <f>Revenue!T45-T65</f>
        <v>2676.6666666666679</v>
      </c>
      <c r="U67" s="5">
        <f>Revenue!U45-U65</f>
        <v>14986.666666666668</v>
      </c>
      <c r="V67" s="5">
        <f>Revenue!V45-V65</f>
        <v>-10833.333333333334</v>
      </c>
      <c r="W67" s="5">
        <f>Revenue!W45-W65</f>
        <v>-10833.333333333334</v>
      </c>
      <c r="X67" s="5">
        <f>Revenue!X45-X65</f>
        <v>14986.666666666668</v>
      </c>
      <c r="Y67" s="5">
        <f>Revenue!Y45-Y65</f>
        <v>14986.666666666668</v>
      </c>
      <c r="Z67" s="5">
        <f>Revenue!Z45-Z65</f>
        <v>14986.666666666668</v>
      </c>
      <c r="AA67" s="5">
        <f>Revenue!AA45-AA65</f>
        <v>2676.6666666666679</v>
      </c>
      <c r="AB67" s="5">
        <f>Revenue!AB45-AB65</f>
        <v>2676.6666666666679</v>
      </c>
      <c r="AC67" s="5">
        <f>Revenue!AC45-AC65</f>
        <v>2676.6666666666679</v>
      </c>
      <c r="AD67" s="5">
        <f>Revenue!AD45-AD65</f>
        <v>14986.666666666668</v>
      </c>
      <c r="AE67" s="5">
        <f>Revenue!AE45-AE65</f>
        <v>27096.666666666664</v>
      </c>
      <c r="AF67" s="5">
        <f>Revenue!AF45-AF65</f>
        <v>27096.666666666664</v>
      </c>
      <c r="AG67" s="5">
        <f>Revenue!AG45-AG65</f>
        <v>27096.666666666664</v>
      </c>
      <c r="AH67" s="5">
        <f>Revenue!AH45-AH65</f>
        <v>-10833.333333333334</v>
      </c>
      <c r="AI67" s="5">
        <f>Revenue!AI45-AI65</f>
        <v>-10833.333333333334</v>
      </c>
      <c r="AJ67" s="5">
        <f>Revenue!AJ45-AJ65</f>
        <v>27096.666666666664</v>
      </c>
      <c r="AK67" s="5">
        <f>Revenue!AK45-AK65</f>
        <v>27096.666666666664</v>
      </c>
      <c r="AL67" s="5">
        <f>Revenue!AL45-AL65</f>
        <v>27096.666666666664</v>
      </c>
      <c r="AM67" s="5">
        <f>Revenue!AM45-AM65</f>
        <v>14986.666666666668</v>
      </c>
    </row>
    <row r="68" spans="3:39" ht="23.1" customHeight="1">
      <c r="C68" s="4" t="s">
        <v>135</v>
      </c>
      <c r="D68" s="5">
        <f>Assumptions!$G$31</f>
        <v>160</v>
      </c>
      <c r="E68" s="5">
        <f>Assumptions!$G$31</f>
        <v>160</v>
      </c>
      <c r="F68" s="5">
        <f>Assumptions!$G$31</f>
        <v>160</v>
      </c>
      <c r="G68" s="5">
        <f>Assumptions!$G$31</f>
        <v>160</v>
      </c>
      <c r="H68" s="5">
        <f>Assumptions!$G$31</f>
        <v>160</v>
      </c>
      <c r="I68" s="5">
        <f>Assumptions!$G$31</f>
        <v>160</v>
      </c>
      <c r="J68" s="5">
        <f>Assumptions!$G$31</f>
        <v>160</v>
      </c>
      <c r="K68" s="5">
        <f>Assumptions!$G$31</f>
        <v>160</v>
      </c>
      <c r="L68" s="5">
        <f>Assumptions!$G$31</f>
        <v>160</v>
      </c>
      <c r="M68" s="5">
        <f>Assumptions!$G$31</f>
        <v>160</v>
      </c>
      <c r="N68" s="5">
        <f>Assumptions!$G$31</f>
        <v>160</v>
      </c>
      <c r="O68" s="5">
        <f>Assumptions!$G$31</f>
        <v>160</v>
      </c>
      <c r="P68" s="5">
        <f>Assumptions!$G$31</f>
        <v>160</v>
      </c>
      <c r="Q68" s="5">
        <f>Assumptions!$G$31</f>
        <v>160</v>
      </c>
      <c r="R68" s="5">
        <f>Assumptions!$G$31</f>
        <v>160</v>
      </c>
      <c r="S68" s="5">
        <f>Assumptions!$G$31</f>
        <v>160</v>
      </c>
      <c r="T68" s="5">
        <f>Assumptions!$G$31</f>
        <v>160</v>
      </c>
      <c r="U68" s="5">
        <f>Assumptions!$G$31</f>
        <v>160</v>
      </c>
      <c r="V68" s="5">
        <f>Assumptions!$G$31</f>
        <v>160</v>
      </c>
      <c r="W68" s="5">
        <f>Assumptions!$G$31</f>
        <v>160</v>
      </c>
      <c r="X68" s="5">
        <f>Assumptions!$G$31</f>
        <v>160</v>
      </c>
      <c r="Y68" s="5">
        <f>Assumptions!$G$31</f>
        <v>160</v>
      </c>
      <c r="Z68" s="5">
        <f>Assumptions!$G$31</f>
        <v>160</v>
      </c>
      <c r="AA68" s="5">
        <f>Assumptions!$G$31</f>
        <v>160</v>
      </c>
      <c r="AB68" s="5">
        <f>Assumptions!$G$31</f>
        <v>160</v>
      </c>
      <c r="AC68" s="5">
        <f>Assumptions!$G$31</f>
        <v>160</v>
      </c>
      <c r="AD68" s="5">
        <f>Assumptions!$G$31</f>
        <v>160</v>
      </c>
      <c r="AE68" s="5">
        <f>Assumptions!$G$31</f>
        <v>160</v>
      </c>
      <c r="AF68" s="5">
        <f>Assumptions!$G$31</f>
        <v>160</v>
      </c>
      <c r="AG68" s="5">
        <f>Assumptions!$G$31</f>
        <v>160</v>
      </c>
      <c r="AH68" s="5">
        <f>Assumptions!$G$31</f>
        <v>160</v>
      </c>
      <c r="AI68" s="5">
        <f>Assumptions!$G$31</f>
        <v>160</v>
      </c>
      <c r="AJ68" s="5">
        <f>Assumptions!$G$31</f>
        <v>160</v>
      </c>
      <c r="AK68" s="5">
        <f>Assumptions!$G$31</f>
        <v>160</v>
      </c>
      <c r="AL68" s="5">
        <f>Assumptions!$G$31</f>
        <v>160</v>
      </c>
      <c r="AM68" s="5">
        <f>Assumptions!$G$31</f>
        <v>160</v>
      </c>
    </row>
    <row r="69" spans="3:39" ht="23.1" customHeight="1">
      <c r="C69" s="4" t="s">
        <v>136</v>
      </c>
      <c r="D69" s="5">
        <f>MAX(0,Assumptions!$G$30-Assumptions!$G$31)</f>
        <v>80</v>
      </c>
      <c r="E69" s="5">
        <f>MAX(0,Assumptions!$G$30-Assumptions!$G$31)</f>
        <v>80</v>
      </c>
      <c r="F69" s="5">
        <f>MAX(0,Assumptions!$G$30-Assumptions!$G$31)</f>
        <v>80</v>
      </c>
      <c r="G69" s="5">
        <f>MAX(0,Assumptions!$G$30-Assumptions!$G$31)</f>
        <v>80</v>
      </c>
      <c r="H69" s="5">
        <f>MAX(0,Assumptions!$G$30-Assumptions!$G$31)</f>
        <v>80</v>
      </c>
      <c r="I69" s="5">
        <f>MAX(0,Assumptions!$G$30-Assumptions!$G$31)</f>
        <v>80</v>
      </c>
      <c r="J69" s="5">
        <f>MAX(0,Assumptions!$G$30-Assumptions!$G$31)</f>
        <v>80</v>
      </c>
      <c r="K69" s="5">
        <f>MAX(0,Assumptions!$G$30-Assumptions!$G$31)</f>
        <v>80</v>
      </c>
      <c r="L69" s="5">
        <f>MAX(0,Assumptions!$G$30-Assumptions!$G$31)</f>
        <v>80</v>
      </c>
      <c r="M69" s="5">
        <f>MAX(0,Assumptions!$G$30-Assumptions!$G$31)</f>
        <v>80</v>
      </c>
      <c r="N69" s="5">
        <f>MAX(0,Assumptions!$G$30-Assumptions!$G$31)</f>
        <v>80</v>
      </c>
      <c r="O69" s="5">
        <f>MAX(0,Assumptions!$G$30-Assumptions!$G$31)</f>
        <v>80</v>
      </c>
      <c r="P69" s="5">
        <f>MAX(0,Assumptions!$G$30-Assumptions!$G$31)</f>
        <v>80</v>
      </c>
      <c r="Q69" s="5">
        <f>MAX(0,Assumptions!$G$30-Assumptions!$G$31)</f>
        <v>80</v>
      </c>
      <c r="R69" s="5">
        <f>MAX(0,Assumptions!$G$30-Assumptions!$G$31)</f>
        <v>80</v>
      </c>
      <c r="S69" s="5">
        <f>MAX(0,Assumptions!$G$30-Assumptions!$G$31)</f>
        <v>80</v>
      </c>
      <c r="T69" s="5">
        <f>MAX(0,Assumptions!$G$30-Assumptions!$G$31)</f>
        <v>80</v>
      </c>
      <c r="U69" s="5">
        <f>MAX(0,Assumptions!$G$30-Assumptions!$G$31)</f>
        <v>80</v>
      </c>
      <c r="V69" s="5">
        <f>MAX(0,Assumptions!$G$30-Assumptions!$G$31)</f>
        <v>80</v>
      </c>
      <c r="W69" s="5">
        <f>MAX(0,Assumptions!$G$30-Assumptions!$G$31)</f>
        <v>80</v>
      </c>
      <c r="X69" s="5">
        <f>MAX(0,Assumptions!$G$30-Assumptions!$G$31)</f>
        <v>80</v>
      </c>
      <c r="Y69" s="5">
        <f>MAX(0,Assumptions!$G$30-Assumptions!$G$31)</f>
        <v>80</v>
      </c>
      <c r="Z69" s="5">
        <f>MAX(0,Assumptions!$G$30-Assumptions!$G$31)</f>
        <v>80</v>
      </c>
      <c r="AA69" s="5">
        <f>MAX(0,Assumptions!$G$30-Assumptions!$G$31)</f>
        <v>80</v>
      </c>
      <c r="AB69" s="5">
        <f>MAX(0,Assumptions!$G$30-Assumptions!$G$31)</f>
        <v>80</v>
      </c>
      <c r="AC69" s="5">
        <f>MAX(0,Assumptions!$G$30-Assumptions!$G$31)</f>
        <v>80</v>
      </c>
      <c r="AD69" s="5">
        <f>MAX(0,Assumptions!$G$30-Assumptions!$G$31)</f>
        <v>80</v>
      </c>
      <c r="AE69" s="5">
        <f>MAX(0,Assumptions!$G$30-Assumptions!$G$31)</f>
        <v>80</v>
      </c>
      <c r="AF69" s="5">
        <f>MAX(0,Assumptions!$G$30-Assumptions!$G$31)</f>
        <v>80</v>
      </c>
      <c r="AG69" s="5">
        <f>MAX(0,Assumptions!$G$30-Assumptions!$G$31)</f>
        <v>80</v>
      </c>
      <c r="AH69" s="5">
        <f>MAX(0,Assumptions!$G$30-Assumptions!$G$31)</f>
        <v>80</v>
      </c>
      <c r="AI69" s="5">
        <f>MAX(0,Assumptions!$G$30-Assumptions!$G$31)</f>
        <v>80</v>
      </c>
      <c r="AJ69" s="5">
        <f>MAX(0,Assumptions!$G$30-Assumptions!$G$31)</f>
        <v>80</v>
      </c>
      <c r="AK69" s="5">
        <f>MAX(0,Assumptions!$G$30-Assumptions!$G$31)</f>
        <v>80</v>
      </c>
      <c r="AL69" s="5">
        <f>MAX(0,Assumptions!$G$30-Assumptions!$G$31)</f>
        <v>80</v>
      </c>
      <c r="AM69" s="5">
        <f>MAX(0,Assumptions!$G$30-Assumptions!$G$31)</f>
        <v>80</v>
      </c>
    </row>
    <row r="70" spans="3:39" ht="23.1" customHeight="1">
      <c r="C70" s="4" t="s">
        <v>137</v>
      </c>
      <c r="D70" s="5">
        <f>Assumptions!$G$32</f>
        <v>160</v>
      </c>
      <c r="E70" s="5">
        <f>Assumptions!$G$32</f>
        <v>160</v>
      </c>
      <c r="F70" s="5">
        <f>Assumptions!$G$32</f>
        <v>160</v>
      </c>
      <c r="G70" s="5">
        <f>Assumptions!$G$32</f>
        <v>160</v>
      </c>
      <c r="H70" s="5">
        <f>Assumptions!$G$32</f>
        <v>160</v>
      </c>
      <c r="I70" s="5">
        <f>Assumptions!$G$32</f>
        <v>160</v>
      </c>
      <c r="J70" s="5">
        <f>Assumptions!$G$32</f>
        <v>160</v>
      </c>
      <c r="K70" s="5">
        <f>Assumptions!$G$32</f>
        <v>160</v>
      </c>
      <c r="L70" s="5">
        <f>Assumptions!$G$32</f>
        <v>160</v>
      </c>
      <c r="M70" s="5">
        <f>Assumptions!$G$32</f>
        <v>160</v>
      </c>
      <c r="N70" s="5">
        <f>Assumptions!$G$32</f>
        <v>160</v>
      </c>
      <c r="O70" s="5">
        <f>Assumptions!$G$32</f>
        <v>160</v>
      </c>
      <c r="P70" s="5">
        <f>Assumptions!$G$32</f>
        <v>160</v>
      </c>
      <c r="Q70" s="5">
        <f>Assumptions!$G$32</f>
        <v>160</v>
      </c>
      <c r="R70" s="5">
        <f>Assumptions!$G$32</f>
        <v>160</v>
      </c>
      <c r="S70" s="5">
        <f>Assumptions!$G$32</f>
        <v>160</v>
      </c>
      <c r="T70" s="5">
        <f>Assumptions!$G$32</f>
        <v>160</v>
      </c>
      <c r="U70" s="5">
        <f>Assumptions!$G$32</f>
        <v>160</v>
      </c>
      <c r="V70" s="5">
        <f>Assumptions!$G$32</f>
        <v>160</v>
      </c>
      <c r="W70" s="5">
        <f>Assumptions!$G$32</f>
        <v>160</v>
      </c>
      <c r="X70" s="5">
        <f>Assumptions!$G$32</f>
        <v>160</v>
      </c>
      <c r="Y70" s="5">
        <f>Assumptions!$G$32</f>
        <v>160</v>
      </c>
      <c r="Z70" s="5">
        <f>Assumptions!$G$32</f>
        <v>160</v>
      </c>
      <c r="AA70" s="5">
        <f>Assumptions!$G$32</f>
        <v>160</v>
      </c>
      <c r="AB70" s="5">
        <f>Assumptions!$G$32</f>
        <v>160</v>
      </c>
      <c r="AC70" s="5">
        <f>Assumptions!$G$32</f>
        <v>160</v>
      </c>
      <c r="AD70" s="5">
        <f>Assumptions!$G$32</f>
        <v>160</v>
      </c>
      <c r="AE70" s="5">
        <f>Assumptions!$G$32</f>
        <v>160</v>
      </c>
      <c r="AF70" s="5">
        <f>Assumptions!$G$32</f>
        <v>160</v>
      </c>
      <c r="AG70" s="5">
        <f>Assumptions!$G$32</f>
        <v>160</v>
      </c>
      <c r="AH70" s="5">
        <f>Assumptions!$G$32</f>
        <v>160</v>
      </c>
      <c r="AI70" s="5">
        <f>Assumptions!$G$32</f>
        <v>160</v>
      </c>
      <c r="AJ70" s="5">
        <f>Assumptions!$G$32</f>
        <v>160</v>
      </c>
      <c r="AK70" s="5">
        <f>Assumptions!$G$32</f>
        <v>160</v>
      </c>
      <c r="AL70" s="5">
        <f>Assumptions!$G$32</f>
        <v>160</v>
      </c>
      <c r="AM70" s="5">
        <f>Assumptions!$G$32</f>
        <v>160</v>
      </c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L16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12" ht="23.1" customHeight="1"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3:12" ht="23.1" customHeight="1">
      <c r="C2" s="15" t="s">
        <v>210</v>
      </c>
      <c r="D2" s="14"/>
      <c r="E2" s="14"/>
      <c r="F2" s="14"/>
      <c r="G2" s="14"/>
      <c r="H2" s="14"/>
      <c r="I2" s="14"/>
      <c r="J2" s="14"/>
      <c r="K2" s="14"/>
      <c r="L2" s="14"/>
    </row>
    <row r="3" spans="3:12" ht="23.1" customHeight="1">
      <c r="C3" s="16" t="s">
        <v>208</v>
      </c>
      <c r="D3" s="14"/>
      <c r="E3" s="14"/>
      <c r="F3" s="14"/>
      <c r="G3" s="14"/>
      <c r="H3" s="14"/>
      <c r="I3" s="14"/>
      <c r="J3" s="14"/>
      <c r="K3" s="14"/>
      <c r="L3" s="14"/>
    </row>
    <row r="4" spans="3:12" ht="23.1" customHeight="1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3:12" ht="23.1" customHeight="1"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3:12" ht="30" customHeight="1"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</row>
    <row r="7" spans="3:12" ht="23.1" customHeight="1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3:12" ht="23.1" customHeight="1">
      <c r="C8" s="11" t="s">
        <v>10</v>
      </c>
      <c r="D8" s="11">
        <f>SUM(Revenue!D9:O9)</f>
        <v>72000</v>
      </c>
      <c r="E8" s="11">
        <f>SUM(Revenue!P9:AA9)</f>
        <v>180000</v>
      </c>
      <c r="F8" s="11">
        <f>SUM(Revenue!AB9:AM9)</f>
        <v>324000</v>
      </c>
      <c r="G8" s="11">
        <f>SUM(Revenue!D27:O27)</f>
        <v>30000</v>
      </c>
      <c r="H8" s="11">
        <f>SUM(Revenue!P27:AA27)</f>
        <v>60000</v>
      </c>
      <c r="I8" s="11">
        <f>SUM(Revenue!AB27:AM27)</f>
        <v>90000</v>
      </c>
      <c r="J8" s="11">
        <f>SUM(Revenue!D45:O45)</f>
        <v>132000</v>
      </c>
      <c r="K8" s="11">
        <f>SUM(Revenue!P45:AA45)</f>
        <v>308000</v>
      </c>
      <c r="L8" s="11">
        <f>SUM(Revenue!AB45:AM45)</f>
        <v>528000</v>
      </c>
    </row>
    <row r="9" spans="3:12" ht="23.1" customHeight="1">
      <c r="C9" s="11" t="s">
        <v>138</v>
      </c>
      <c r="D9" s="11">
        <f>SUM(Costs!D11:O11)</f>
        <v>33600</v>
      </c>
      <c r="E9" s="11">
        <f>SUM(Costs!P11:AA11)</f>
        <v>87200</v>
      </c>
      <c r="F9" s="11">
        <f>SUM(Costs!AB11:AM11)</f>
        <v>165600</v>
      </c>
      <c r="G9" s="11">
        <f>SUM(Costs!D35:O35)</f>
        <v>26700</v>
      </c>
      <c r="H9" s="11">
        <f>SUM(Costs!P35:AA35)</f>
        <v>53400</v>
      </c>
      <c r="I9" s="11">
        <f>SUM(Costs!AB35:AM35)</f>
        <v>80100</v>
      </c>
      <c r="J9" s="11">
        <f>SUM(Costs!D59:O59)</f>
        <v>48300</v>
      </c>
      <c r="K9" s="11">
        <f>SUM(Costs!P59:AA59)</f>
        <v>118700</v>
      </c>
      <c r="L9" s="11">
        <f>SUM(Costs!AB59:AM59)</f>
        <v>211200</v>
      </c>
    </row>
    <row r="10" spans="3:12" ht="23.1" customHeight="1">
      <c r="C10" s="11" t="s">
        <v>139</v>
      </c>
      <c r="D10" s="11">
        <f t="shared" ref="D10:L10" si="0">D8-D9</f>
        <v>38400</v>
      </c>
      <c r="E10" s="11">
        <f t="shared" si="0"/>
        <v>92800</v>
      </c>
      <c r="F10" s="11">
        <f t="shared" si="0"/>
        <v>158400</v>
      </c>
      <c r="G10" s="11">
        <f t="shared" si="0"/>
        <v>3300</v>
      </c>
      <c r="H10" s="11">
        <f t="shared" si="0"/>
        <v>6600</v>
      </c>
      <c r="I10" s="11">
        <f t="shared" si="0"/>
        <v>9900</v>
      </c>
      <c r="J10" s="11">
        <f t="shared" si="0"/>
        <v>83700</v>
      </c>
      <c r="K10" s="11">
        <f t="shared" si="0"/>
        <v>189300</v>
      </c>
      <c r="L10" s="11">
        <f t="shared" si="0"/>
        <v>316800</v>
      </c>
    </row>
    <row r="11" spans="3:12" ht="23.1" customHeight="1">
      <c r="C11" s="11" t="s">
        <v>129</v>
      </c>
      <c r="D11" s="11">
        <f>SUM(Costs!D12:O12)</f>
        <v>72000</v>
      </c>
      <c r="E11" s="11">
        <f>SUM(Costs!P12:AA12)</f>
        <v>72000</v>
      </c>
      <c r="F11" s="11">
        <f>SUM(Costs!AB12:AM12)</f>
        <v>72000</v>
      </c>
      <c r="G11" s="11">
        <f>SUM(Costs!D36:O36)</f>
        <v>72000</v>
      </c>
      <c r="H11" s="11">
        <f>SUM(Costs!P36:AA36)</f>
        <v>72000</v>
      </c>
      <c r="I11" s="11">
        <f>SUM(Costs!AB36:AM36)</f>
        <v>72000</v>
      </c>
      <c r="J11" s="11">
        <f>SUM(Costs!D60:O60)</f>
        <v>96000</v>
      </c>
      <c r="K11" s="11">
        <f>SUM(Costs!P60:AA60)</f>
        <v>96000</v>
      </c>
      <c r="L11" s="11">
        <f>SUM(Costs!AB60:AM60)</f>
        <v>96000</v>
      </c>
    </row>
    <row r="12" spans="3:12" ht="23.1" customHeight="1">
      <c r="C12" s="11" t="s">
        <v>130</v>
      </c>
      <c r="D12" s="11">
        <f>SUM(Costs!D13:O13)</f>
        <v>21600</v>
      </c>
      <c r="E12" s="11">
        <f>SUM(Costs!P13:AA13)</f>
        <v>21600</v>
      </c>
      <c r="F12" s="11">
        <f>SUM(Costs!AB13:AM13)</f>
        <v>21600</v>
      </c>
      <c r="G12" s="11">
        <f>SUM(Costs!D37:O37)</f>
        <v>21600</v>
      </c>
      <c r="H12" s="11">
        <f>SUM(Costs!P37:AA37)</f>
        <v>21600</v>
      </c>
      <c r="I12" s="11">
        <f>SUM(Costs!AB37:AM37)</f>
        <v>21600</v>
      </c>
      <c r="J12" s="11">
        <f>SUM(Costs!D61:O61)</f>
        <v>30000</v>
      </c>
      <c r="K12" s="11">
        <f>SUM(Costs!P61:AA61)</f>
        <v>30000</v>
      </c>
      <c r="L12" s="11">
        <f>SUM(Costs!AB61:AM61)</f>
        <v>30000</v>
      </c>
    </row>
    <row r="13" spans="3:12" ht="23.1" customHeight="1">
      <c r="C13" s="11" t="s">
        <v>20</v>
      </c>
      <c r="D13" s="11">
        <f>SUM(Costs!D14:O14)</f>
        <v>1440</v>
      </c>
      <c r="E13" s="11">
        <f>SUM(Costs!P14:AA14)</f>
        <v>3600</v>
      </c>
      <c r="F13" s="11">
        <f>SUM(Costs!AB14:AM14)</f>
        <v>6480</v>
      </c>
      <c r="G13" s="11">
        <f>SUM(Costs!D38:O38)</f>
        <v>900</v>
      </c>
      <c r="H13" s="11">
        <f>SUM(Costs!P38:AA38)</f>
        <v>1800</v>
      </c>
      <c r="I13" s="11">
        <f>SUM(Costs!AB38:AM38)</f>
        <v>2700</v>
      </c>
      <c r="J13" s="11">
        <f>SUM(Costs!D62:O62)</f>
        <v>2640</v>
      </c>
      <c r="K13" s="11">
        <f>SUM(Costs!P62:AA62)</f>
        <v>6160</v>
      </c>
      <c r="L13" s="11">
        <f>SUM(Costs!AB62:AM62)</f>
        <v>10560</v>
      </c>
    </row>
    <row r="14" spans="3:12" ht="23.1" customHeight="1">
      <c r="C14" s="11" t="s">
        <v>132</v>
      </c>
      <c r="D14" s="11">
        <f>SUM(Costs!D16:O16)</f>
        <v>4000.0000000000005</v>
      </c>
      <c r="E14" s="11">
        <f>SUM(Costs!P16:AA16)</f>
        <v>4000.0000000000005</v>
      </c>
      <c r="F14" s="11">
        <f>SUM(Costs!AB16:AM16)</f>
        <v>4000.0000000000005</v>
      </c>
      <c r="G14" s="11">
        <f>SUM(Costs!D40:O40)</f>
        <v>4000.0000000000005</v>
      </c>
      <c r="H14" s="11">
        <f>SUM(Costs!P40:AA40)</f>
        <v>4000.0000000000005</v>
      </c>
      <c r="I14" s="11">
        <f>SUM(Costs!AB40:AM40)</f>
        <v>4000.0000000000005</v>
      </c>
      <c r="J14" s="11">
        <f>SUM(Costs!D64:O64)</f>
        <v>4000.0000000000005</v>
      </c>
      <c r="K14" s="11">
        <f>SUM(Costs!P64:AA64)</f>
        <v>4000.0000000000005</v>
      </c>
      <c r="L14" s="11">
        <f>SUM(Costs!AB64:AM64)</f>
        <v>4000.0000000000005</v>
      </c>
    </row>
    <row r="15" spans="3:12" ht="23.1" customHeight="1">
      <c r="C15" s="11" t="s">
        <v>140</v>
      </c>
      <c r="D15" s="11">
        <f t="shared" ref="D15:L15" si="1">D9+SUM(D11:D14)</f>
        <v>132640</v>
      </c>
      <c r="E15" s="11">
        <f t="shared" si="1"/>
        <v>188400</v>
      </c>
      <c r="F15" s="11">
        <f t="shared" si="1"/>
        <v>269680</v>
      </c>
      <c r="G15" s="11">
        <f t="shared" si="1"/>
        <v>125200</v>
      </c>
      <c r="H15" s="11">
        <f t="shared" si="1"/>
        <v>152800</v>
      </c>
      <c r="I15" s="11">
        <f t="shared" si="1"/>
        <v>180400</v>
      </c>
      <c r="J15" s="11">
        <f t="shared" si="1"/>
        <v>180940</v>
      </c>
      <c r="K15" s="11">
        <f t="shared" si="1"/>
        <v>254860</v>
      </c>
      <c r="L15" s="11">
        <f t="shared" si="1"/>
        <v>351760</v>
      </c>
    </row>
    <row r="16" spans="3:12" ht="23.1" customHeight="1">
      <c r="C16" s="11" t="s">
        <v>12</v>
      </c>
      <c r="D16" s="11">
        <f t="shared" ref="D16:L16" si="2">D8-D15</f>
        <v>-60640</v>
      </c>
      <c r="E16" s="11">
        <f t="shared" si="2"/>
        <v>-8400</v>
      </c>
      <c r="F16" s="11">
        <f t="shared" si="2"/>
        <v>54320</v>
      </c>
      <c r="G16" s="11">
        <f t="shared" si="2"/>
        <v>-95200</v>
      </c>
      <c r="H16" s="11">
        <f t="shared" si="2"/>
        <v>-92800</v>
      </c>
      <c r="I16" s="11">
        <f t="shared" si="2"/>
        <v>-90400</v>
      </c>
      <c r="J16" s="11">
        <f t="shared" si="2"/>
        <v>-48940</v>
      </c>
      <c r="K16" s="11">
        <f t="shared" si="2"/>
        <v>53140</v>
      </c>
      <c r="L16" s="11">
        <f t="shared" si="2"/>
        <v>176240</v>
      </c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L2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12" ht="23.1" customHeight="1"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3:12" ht="23.1" customHeight="1">
      <c r="C2" s="15" t="s">
        <v>211</v>
      </c>
      <c r="D2" s="14"/>
      <c r="E2" s="14"/>
      <c r="F2" s="14"/>
      <c r="G2" s="14"/>
      <c r="H2" s="14"/>
      <c r="I2" s="14"/>
      <c r="J2" s="14"/>
      <c r="K2" s="14"/>
      <c r="L2" s="14"/>
    </row>
    <row r="3" spans="3:12" ht="23.1" customHeight="1">
      <c r="C3" s="16" t="s">
        <v>208</v>
      </c>
      <c r="D3" s="14"/>
      <c r="E3" s="14"/>
      <c r="F3" s="14"/>
      <c r="G3" s="14"/>
      <c r="H3" s="14"/>
      <c r="I3" s="14"/>
      <c r="J3" s="14"/>
      <c r="K3" s="14"/>
      <c r="L3" s="14"/>
    </row>
    <row r="4" spans="3:12" ht="23.1" customHeight="1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3:12" ht="23.1" customHeight="1"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3:12" ht="30" customHeight="1"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</row>
    <row r="7" spans="3:12" ht="23.1" customHeight="1"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3:12" ht="23.1" customHeight="1">
      <c r="C8" s="11" t="s">
        <v>141</v>
      </c>
      <c r="D8" s="11">
        <f>'Cash Flow'!O14</f>
        <v>54360</v>
      </c>
      <c r="E8" s="11">
        <f>'Cash Flow'!AA14</f>
        <v>40960</v>
      </c>
      <c r="F8" s="11">
        <f>'Cash Flow'!AM14</f>
        <v>99280</v>
      </c>
      <c r="G8" s="11">
        <f>'Cash Flow'!O38</f>
        <v>197900</v>
      </c>
      <c r="H8" s="11">
        <f>'Cash Flow'!AA38</f>
        <v>109100</v>
      </c>
      <c r="I8" s="11">
        <f>'Cash Flow'!AM38</f>
        <v>22700</v>
      </c>
      <c r="J8" s="11">
        <f>'Cash Flow'!O62</f>
        <v>38490</v>
      </c>
      <c r="K8" s="11">
        <f>'Cash Flow'!AA62</f>
        <v>84630</v>
      </c>
      <c r="L8" s="11">
        <f>'Cash Flow'!AM62</f>
        <v>253870</v>
      </c>
    </row>
    <row r="9" spans="3:12" ht="23.1" customHeight="1">
      <c r="C9" s="11" t="s">
        <v>142</v>
      </c>
      <c r="D9" s="11">
        <f>Revenue!O11</f>
        <v>0</v>
      </c>
      <c r="E9" s="11">
        <f>Revenue!AA11</f>
        <v>9000</v>
      </c>
      <c r="F9" s="11">
        <f>Revenue!AM11</f>
        <v>9000</v>
      </c>
      <c r="G9" s="11">
        <f>Revenue!O29</f>
        <v>0</v>
      </c>
      <c r="H9" s="11">
        <f>Revenue!AA29</f>
        <v>0</v>
      </c>
      <c r="I9" s="11">
        <f>Revenue!AM29</f>
        <v>0</v>
      </c>
      <c r="J9" s="11">
        <f>Revenue!O47</f>
        <v>0</v>
      </c>
      <c r="K9" s="11">
        <f>Revenue!AA47</f>
        <v>11000</v>
      </c>
      <c r="L9" s="11">
        <f>Revenue!AM47</f>
        <v>22000</v>
      </c>
    </row>
    <row r="10" spans="3:12" ht="23.1" customHeight="1">
      <c r="C10" s="11" t="s">
        <v>143</v>
      </c>
      <c r="D10" s="11">
        <f>Assumptions!$E$24</f>
        <v>12000</v>
      </c>
      <c r="E10" s="11">
        <f>Assumptions!$E$24</f>
        <v>12000</v>
      </c>
      <c r="F10" s="11">
        <f>Assumptions!$E$24</f>
        <v>12000</v>
      </c>
      <c r="G10" s="11">
        <f>Assumptions!$F$24</f>
        <v>12000</v>
      </c>
      <c r="H10" s="11">
        <f>Assumptions!$F$24</f>
        <v>12000</v>
      </c>
      <c r="I10" s="11">
        <f>Assumptions!$F$24</f>
        <v>12000</v>
      </c>
      <c r="J10" s="11">
        <f>Assumptions!$G$24</f>
        <v>12000</v>
      </c>
      <c r="K10" s="11">
        <f>Assumptions!$G$24</f>
        <v>12000</v>
      </c>
      <c r="L10" s="11">
        <f>Assumptions!$G$24</f>
        <v>12000</v>
      </c>
    </row>
    <row r="11" spans="3:12" ht="23.1" customHeight="1">
      <c r="C11" s="11" t="s">
        <v>144</v>
      </c>
      <c r="D11" s="11">
        <f>SUM(Costs!D16:O16)</f>
        <v>4000.0000000000005</v>
      </c>
      <c r="E11" s="11">
        <f>SUM(Costs!D16:AA16)</f>
        <v>7999.9999999999973</v>
      </c>
      <c r="F11" s="11">
        <f>SUM(Costs!D16:AM16)</f>
        <v>12000.000000000004</v>
      </c>
      <c r="G11" s="11">
        <f>SUM(Costs!D40:O40)</f>
        <v>4000.0000000000005</v>
      </c>
      <c r="H11" s="11">
        <f>SUM(Costs!D40:AA40)</f>
        <v>7999.9999999999973</v>
      </c>
      <c r="I11" s="11">
        <f>SUM(Costs!D40:AM40)</f>
        <v>12000.000000000004</v>
      </c>
      <c r="J11" s="11">
        <f>SUM(Costs!D64:O64)</f>
        <v>4000.0000000000005</v>
      </c>
      <c r="K11" s="11">
        <f>SUM(Costs!D64:AA64)</f>
        <v>7999.9999999999973</v>
      </c>
      <c r="L11" s="11">
        <f>SUM(Costs!D64:AM64)</f>
        <v>12000.000000000004</v>
      </c>
    </row>
    <row r="12" spans="3:12" ht="23.1" customHeight="1">
      <c r="C12" s="11" t="s">
        <v>145</v>
      </c>
      <c r="D12" s="11">
        <f t="shared" ref="D12:L12" si="0">D10-D11</f>
        <v>8000</v>
      </c>
      <c r="E12" s="11">
        <f t="shared" si="0"/>
        <v>4000.0000000000027</v>
      </c>
      <c r="F12" s="11">
        <f t="shared" si="0"/>
        <v>0</v>
      </c>
      <c r="G12" s="11">
        <f t="shared" si="0"/>
        <v>8000</v>
      </c>
      <c r="H12" s="11">
        <f t="shared" si="0"/>
        <v>4000.0000000000027</v>
      </c>
      <c r="I12" s="11">
        <f t="shared" si="0"/>
        <v>0</v>
      </c>
      <c r="J12" s="11">
        <f t="shared" si="0"/>
        <v>8000</v>
      </c>
      <c r="K12" s="11">
        <f t="shared" si="0"/>
        <v>4000.0000000000027</v>
      </c>
      <c r="L12" s="11">
        <f t="shared" si="0"/>
        <v>0</v>
      </c>
    </row>
    <row r="13" spans="3:12" ht="23.1" customHeight="1">
      <c r="C13" s="11" t="s">
        <v>146</v>
      </c>
      <c r="D13" s="11">
        <f t="shared" ref="D13:L13" si="1">SUM(D8:D9)+D12</f>
        <v>62360</v>
      </c>
      <c r="E13" s="11">
        <f t="shared" si="1"/>
        <v>53960</v>
      </c>
      <c r="F13" s="11">
        <f t="shared" si="1"/>
        <v>108280</v>
      </c>
      <c r="G13" s="11">
        <f t="shared" si="1"/>
        <v>205900</v>
      </c>
      <c r="H13" s="11">
        <f t="shared" si="1"/>
        <v>113100</v>
      </c>
      <c r="I13" s="11">
        <f t="shared" si="1"/>
        <v>22700</v>
      </c>
      <c r="J13" s="11">
        <f t="shared" si="1"/>
        <v>46490</v>
      </c>
      <c r="K13" s="11">
        <f t="shared" si="1"/>
        <v>99630</v>
      </c>
      <c r="L13" s="11">
        <f t="shared" si="1"/>
        <v>275870</v>
      </c>
    </row>
    <row r="14" spans="3:12" ht="23.1" customHeight="1"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3:12" ht="23.1" customHeight="1">
      <c r="C15" s="11" t="s">
        <v>147</v>
      </c>
      <c r="D15" s="11">
        <f>0</f>
        <v>0</v>
      </c>
      <c r="E15" s="11">
        <f>0</f>
        <v>0</v>
      </c>
      <c r="F15" s="11">
        <f>0</f>
        <v>0</v>
      </c>
      <c r="G15" s="11">
        <f>0</f>
        <v>0</v>
      </c>
      <c r="H15" s="11">
        <f>0</f>
        <v>0</v>
      </c>
      <c r="I15" s="11">
        <f>0</f>
        <v>0</v>
      </c>
      <c r="J15" s="11">
        <f>0</f>
        <v>0</v>
      </c>
      <c r="K15" s="11">
        <f>0</f>
        <v>0</v>
      </c>
      <c r="L15" s="11">
        <f>0</f>
        <v>0</v>
      </c>
    </row>
    <row r="16" spans="3:12" ht="23.1" customHeight="1">
      <c r="C16" s="11" t="s">
        <v>148</v>
      </c>
      <c r="D16" s="11">
        <f>Assumptions!$E$26</f>
        <v>20000</v>
      </c>
      <c r="E16" s="11">
        <f>Assumptions!$E$26</f>
        <v>20000</v>
      </c>
      <c r="F16" s="11">
        <f>Assumptions!$E$26</f>
        <v>20000</v>
      </c>
      <c r="G16" s="11">
        <f>Assumptions!$F$26</f>
        <v>20000</v>
      </c>
      <c r="H16" s="11">
        <f>Assumptions!$F$26</f>
        <v>20000</v>
      </c>
      <c r="I16" s="11">
        <f>Assumptions!$F$26</f>
        <v>20000</v>
      </c>
      <c r="J16" s="11">
        <f>Assumptions!$G$26</f>
        <v>20000</v>
      </c>
      <c r="K16" s="11">
        <f>Assumptions!$G$26</f>
        <v>20000</v>
      </c>
      <c r="L16" s="11">
        <f>Assumptions!$G$26</f>
        <v>20000</v>
      </c>
    </row>
    <row r="17" spans="3:12" ht="23.1" customHeight="1">
      <c r="C17" s="11" t="s">
        <v>149</v>
      </c>
      <c r="D17" s="11">
        <f>Financing!D8</f>
        <v>103000</v>
      </c>
      <c r="E17" s="11">
        <f>Financing!D8</f>
        <v>103000</v>
      </c>
      <c r="F17" s="11">
        <f>Financing!D8</f>
        <v>103000</v>
      </c>
      <c r="G17" s="11">
        <f>Financing!E8</f>
        <v>281100</v>
      </c>
      <c r="H17" s="11">
        <f>Financing!E8</f>
        <v>281100</v>
      </c>
      <c r="I17" s="11">
        <f>Financing!E8</f>
        <v>281100</v>
      </c>
      <c r="J17" s="11">
        <f>Financing!F8</f>
        <v>75430</v>
      </c>
      <c r="K17" s="11">
        <f>Financing!F8</f>
        <v>75430</v>
      </c>
      <c r="L17" s="11">
        <f>Financing!F8</f>
        <v>75430</v>
      </c>
    </row>
    <row r="18" spans="3:12" ht="23.1" customHeight="1">
      <c r="C18" s="11" t="s">
        <v>150</v>
      </c>
      <c r="D18" s="11">
        <f>SUM(Costs!D19:O19)</f>
        <v>-60640</v>
      </c>
      <c r="E18" s="11">
        <f>SUM(Costs!D19:AA19)</f>
        <v>-69039.999999999942</v>
      </c>
      <c r="F18" s="11">
        <f>SUM(Costs!D19:AM19)</f>
        <v>-14719.99999999992</v>
      </c>
      <c r="G18" s="11">
        <f>SUM(Costs!D43:O43)</f>
        <v>-95199.999999999985</v>
      </c>
      <c r="H18" s="11">
        <f>SUM(Costs!D43:AA43)</f>
        <v>-188000.00000000003</v>
      </c>
      <c r="I18" s="11">
        <f>SUM(Costs!D43:AM43)</f>
        <v>-278400.00000000006</v>
      </c>
      <c r="J18" s="11">
        <f>SUM(Costs!D67:O67)</f>
        <v>-48939.999999999993</v>
      </c>
      <c r="K18" s="11">
        <f>SUM(Costs!D67:AA67)</f>
        <v>4200.0000000000291</v>
      </c>
      <c r="L18" s="11">
        <f>SUM(Costs!D67:AM67)</f>
        <v>180440</v>
      </c>
    </row>
    <row r="19" spans="3:12" ht="23.1" customHeight="1">
      <c r="C19" s="11" t="s">
        <v>151</v>
      </c>
      <c r="D19" s="11">
        <f t="shared" ref="D19:L19" si="2">SUM(D15:D18)</f>
        <v>62360</v>
      </c>
      <c r="E19" s="11">
        <f t="shared" si="2"/>
        <v>53960.000000000058</v>
      </c>
      <c r="F19" s="11">
        <f t="shared" si="2"/>
        <v>108280.00000000009</v>
      </c>
      <c r="G19" s="11">
        <f t="shared" si="2"/>
        <v>205900</v>
      </c>
      <c r="H19" s="11">
        <f t="shared" si="2"/>
        <v>113099.99999999997</v>
      </c>
      <c r="I19" s="11">
        <f t="shared" si="2"/>
        <v>22699.999999999942</v>
      </c>
      <c r="J19" s="11">
        <f t="shared" si="2"/>
        <v>46490.000000000007</v>
      </c>
      <c r="K19" s="11">
        <f t="shared" si="2"/>
        <v>99630.000000000029</v>
      </c>
      <c r="L19" s="11">
        <f t="shared" si="2"/>
        <v>275870</v>
      </c>
    </row>
    <row r="20" spans="3:12" ht="23.1" customHeight="1"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3:12" ht="23.1" customHeight="1">
      <c r="C21" s="11" t="s">
        <v>152</v>
      </c>
      <c r="D21" s="11">
        <f t="shared" ref="D21:L21" si="3">D13-D19</f>
        <v>0</v>
      </c>
      <c r="E21" s="11">
        <f t="shared" si="3"/>
        <v>-5.8207660913467407E-11</v>
      </c>
      <c r="F21" s="11">
        <f t="shared" si="3"/>
        <v>0</v>
      </c>
      <c r="G21" s="11">
        <f t="shared" si="3"/>
        <v>0</v>
      </c>
      <c r="H21" s="11">
        <f t="shared" si="3"/>
        <v>0</v>
      </c>
      <c r="I21" s="11">
        <f t="shared" si="3"/>
        <v>5.8207660913467407E-11</v>
      </c>
      <c r="J21" s="11">
        <f t="shared" si="3"/>
        <v>0</v>
      </c>
      <c r="K21" s="11">
        <f t="shared" si="3"/>
        <v>0</v>
      </c>
      <c r="L21" s="11">
        <f t="shared" si="3"/>
        <v>0</v>
      </c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AM64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39" ht="23.1" customHeight="1"/>
    <row r="2" spans="3:39" ht="23.1" customHeight="1">
      <c r="C2" s="1" t="s">
        <v>217</v>
      </c>
    </row>
    <row r="3" spans="3:39" ht="23.1" customHeight="1">
      <c r="C3" s="2" t="s">
        <v>208</v>
      </c>
    </row>
    <row r="4" spans="3:39" ht="23.1" customHeight="1"/>
    <row r="5" spans="3:39" ht="23.1" customHeight="1"/>
    <row r="6" spans="3:39" ht="30" customHeight="1">
      <c r="C6" s="3" t="s">
        <v>27</v>
      </c>
      <c r="D6" s="10">
        <v>46388</v>
      </c>
      <c r="E6" s="10">
        <v>46419</v>
      </c>
      <c r="F6" s="10">
        <v>46447</v>
      </c>
      <c r="G6" s="10">
        <v>46478</v>
      </c>
      <c r="H6" s="10">
        <v>46508</v>
      </c>
      <c r="I6" s="10">
        <v>46539</v>
      </c>
      <c r="J6" s="10">
        <v>46569</v>
      </c>
      <c r="K6" s="10">
        <v>46600</v>
      </c>
      <c r="L6" s="10">
        <v>46631</v>
      </c>
      <c r="M6" s="10">
        <v>46661</v>
      </c>
      <c r="N6" s="10">
        <v>46692</v>
      </c>
      <c r="O6" s="10">
        <v>46722</v>
      </c>
      <c r="P6" s="10">
        <v>46753</v>
      </c>
      <c r="Q6" s="10">
        <v>46784</v>
      </c>
      <c r="R6" s="10">
        <v>46813</v>
      </c>
      <c r="S6" s="10">
        <v>46844</v>
      </c>
      <c r="T6" s="10">
        <v>46874</v>
      </c>
      <c r="U6" s="10">
        <v>46905</v>
      </c>
      <c r="V6" s="10">
        <v>46935</v>
      </c>
      <c r="W6" s="10">
        <v>46966</v>
      </c>
      <c r="X6" s="10">
        <v>46997</v>
      </c>
      <c r="Y6" s="10">
        <v>47027</v>
      </c>
      <c r="Z6" s="10">
        <v>47058</v>
      </c>
      <c r="AA6" s="10">
        <v>47088</v>
      </c>
      <c r="AB6" s="10">
        <v>47119</v>
      </c>
      <c r="AC6" s="10">
        <v>47150</v>
      </c>
      <c r="AD6" s="10">
        <v>47178</v>
      </c>
      <c r="AE6" s="10">
        <v>47209</v>
      </c>
      <c r="AF6" s="10">
        <v>47239</v>
      </c>
      <c r="AG6" s="10">
        <v>47270</v>
      </c>
      <c r="AH6" s="10">
        <v>47300</v>
      </c>
      <c r="AI6" s="10">
        <v>47331</v>
      </c>
      <c r="AJ6" s="10">
        <v>47362</v>
      </c>
      <c r="AK6" s="10">
        <v>47392</v>
      </c>
      <c r="AL6" s="10">
        <v>47423</v>
      </c>
      <c r="AM6" s="10">
        <v>47453</v>
      </c>
    </row>
    <row r="7" spans="3:39" ht="23.1" customHeight="1">
      <c r="C7" s="4" t="s">
        <v>10</v>
      </c>
      <c r="D7" s="5">
        <f>Revenue!D9</f>
        <v>0</v>
      </c>
      <c r="E7" s="5">
        <f>Revenue!E9</f>
        <v>0</v>
      </c>
      <c r="F7" s="5">
        <f>Revenue!F9</f>
        <v>0</v>
      </c>
      <c r="G7" s="5">
        <f>Revenue!G9</f>
        <v>18000</v>
      </c>
      <c r="H7" s="5">
        <f>Revenue!H9</f>
        <v>0</v>
      </c>
      <c r="I7" s="5">
        <f>Revenue!I9</f>
        <v>18000</v>
      </c>
      <c r="J7" s="5">
        <f>Revenue!J9</f>
        <v>0</v>
      </c>
      <c r="K7" s="5">
        <f>Revenue!K9</f>
        <v>0</v>
      </c>
      <c r="L7" s="5">
        <f>Revenue!L9</f>
        <v>18000</v>
      </c>
      <c r="M7" s="5">
        <f>Revenue!M9</f>
        <v>18000</v>
      </c>
      <c r="N7" s="5">
        <f>Revenue!N9</f>
        <v>0</v>
      </c>
      <c r="O7" s="5">
        <f>Revenue!O9</f>
        <v>0</v>
      </c>
      <c r="P7" s="5">
        <f>Revenue!P9</f>
        <v>0</v>
      </c>
      <c r="Q7" s="5">
        <f>Revenue!Q9</f>
        <v>0</v>
      </c>
      <c r="R7" s="5">
        <f>Revenue!R9</f>
        <v>18000</v>
      </c>
      <c r="S7" s="5">
        <f>Revenue!S9</f>
        <v>18000</v>
      </c>
      <c r="T7" s="5">
        <f>Revenue!T9</f>
        <v>18000</v>
      </c>
      <c r="U7" s="5">
        <f>Revenue!U9</f>
        <v>18000</v>
      </c>
      <c r="V7" s="5">
        <f>Revenue!V9</f>
        <v>0</v>
      </c>
      <c r="W7" s="5">
        <f>Revenue!W9</f>
        <v>0</v>
      </c>
      <c r="X7" s="5">
        <f>Revenue!X9</f>
        <v>36000</v>
      </c>
      <c r="Y7" s="5">
        <f>Revenue!Y9</f>
        <v>36000</v>
      </c>
      <c r="Z7" s="5">
        <f>Revenue!Z9</f>
        <v>18000</v>
      </c>
      <c r="AA7" s="5">
        <f>Revenue!AA9</f>
        <v>18000</v>
      </c>
      <c r="AB7" s="5">
        <f>Revenue!AB9</f>
        <v>0</v>
      </c>
      <c r="AC7" s="5">
        <f>Revenue!AC9</f>
        <v>18000</v>
      </c>
      <c r="AD7" s="5">
        <f>Revenue!AD9</f>
        <v>36000</v>
      </c>
      <c r="AE7" s="5">
        <f>Revenue!AE9</f>
        <v>36000</v>
      </c>
      <c r="AF7" s="5">
        <f>Revenue!AF9</f>
        <v>36000</v>
      </c>
      <c r="AG7" s="5">
        <f>Revenue!AG9</f>
        <v>36000</v>
      </c>
      <c r="AH7" s="5">
        <f>Revenue!AH9</f>
        <v>0</v>
      </c>
      <c r="AI7" s="5">
        <f>Revenue!AI9</f>
        <v>0</v>
      </c>
      <c r="AJ7" s="5">
        <f>Revenue!AJ9</f>
        <v>54000</v>
      </c>
      <c r="AK7" s="5">
        <f>Revenue!AK9</f>
        <v>54000</v>
      </c>
      <c r="AL7" s="5">
        <f>Revenue!AL9</f>
        <v>36000</v>
      </c>
      <c r="AM7" s="5">
        <f>Revenue!AM9</f>
        <v>18000</v>
      </c>
    </row>
    <row r="8" spans="3:39" ht="23.1" customHeight="1">
      <c r="C8" s="4" t="s">
        <v>118</v>
      </c>
      <c r="D8" s="5">
        <f>Revenue!D10</f>
        <v>0</v>
      </c>
      <c r="E8" s="5">
        <f>Revenue!E10</f>
        <v>0</v>
      </c>
      <c r="F8" s="5">
        <f>Revenue!F10</f>
        <v>0</v>
      </c>
      <c r="G8" s="5">
        <f>Revenue!G10</f>
        <v>9000</v>
      </c>
      <c r="H8" s="5">
        <f>Revenue!H10</f>
        <v>9000</v>
      </c>
      <c r="I8" s="5">
        <f>Revenue!I10</f>
        <v>9000</v>
      </c>
      <c r="J8" s="5">
        <f>Revenue!J10</f>
        <v>9000</v>
      </c>
      <c r="K8" s="5">
        <f>Revenue!K10</f>
        <v>0</v>
      </c>
      <c r="L8" s="5">
        <f>Revenue!L10</f>
        <v>9000</v>
      </c>
      <c r="M8" s="5">
        <f>Revenue!M10</f>
        <v>18000</v>
      </c>
      <c r="N8" s="5">
        <f>Revenue!N10</f>
        <v>9000</v>
      </c>
      <c r="O8" s="5">
        <f>Revenue!O10</f>
        <v>0</v>
      </c>
      <c r="P8" s="5">
        <f>Revenue!P10</f>
        <v>0</v>
      </c>
      <c r="Q8" s="5">
        <f>Revenue!Q10</f>
        <v>0</v>
      </c>
      <c r="R8" s="5">
        <f>Revenue!R10</f>
        <v>9000</v>
      </c>
      <c r="S8" s="5">
        <f>Revenue!S10</f>
        <v>18000</v>
      </c>
      <c r="T8" s="5">
        <f>Revenue!T10</f>
        <v>18000</v>
      </c>
      <c r="U8" s="5">
        <f>Revenue!U10</f>
        <v>18000</v>
      </c>
      <c r="V8" s="5">
        <f>Revenue!V10</f>
        <v>9000</v>
      </c>
      <c r="W8" s="5">
        <f>Revenue!W10</f>
        <v>0</v>
      </c>
      <c r="X8" s="5">
        <f>Revenue!X10</f>
        <v>18000</v>
      </c>
      <c r="Y8" s="5">
        <f>Revenue!Y10</f>
        <v>36000</v>
      </c>
      <c r="Z8" s="5">
        <f>Revenue!Z10</f>
        <v>27000</v>
      </c>
      <c r="AA8" s="5">
        <f>Revenue!AA10</f>
        <v>18000</v>
      </c>
      <c r="AB8" s="5">
        <f>Revenue!AB10</f>
        <v>9000</v>
      </c>
      <c r="AC8" s="5">
        <f>Revenue!AC10</f>
        <v>9000</v>
      </c>
      <c r="AD8" s="5">
        <f>Revenue!AD10</f>
        <v>27000</v>
      </c>
      <c r="AE8" s="5">
        <f>Revenue!AE10</f>
        <v>36000</v>
      </c>
      <c r="AF8" s="5">
        <f>Revenue!AF10</f>
        <v>36000</v>
      </c>
      <c r="AG8" s="5">
        <f>Revenue!AG10</f>
        <v>36000</v>
      </c>
      <c r="AH8" s="5">
        <f>Revenue!AH10</f>
        <v>18000</v>
      </c>
      <c r="AI8" s="5">
        <f>Revenue!AI10</f>
        <v>0</v>
      </c>
      <c r="AJ8" s="5">
        <f>Revenue!AJ10</f>
        <v>27000</v>
      </c>
      <c r="AK8" s="5">
        <f>Revenue!AK10</f>
        <v>54000</v>
      </c>
      <c r="AL8" s="5">
        <f>Revenue!AL10</f>
        <v>45000</v>
      </c>
      <c r="AM8" s="5">
        <f>Revenue!AM10</f>
        <v>27000</v>
      </c>
    </row>
    <row r="9" spans="3:39" ht="23.1" customHeight="1">
      <c r="C9" s="4" t="s">
        <v>153</v>
      </c>
      <c r="D9" s="5">
        <f>Costs!D18</f>
        <v>7800</v>
      </c>
      <c r="E9" s="5">
        <f>Costs!E18</f>
        <v>7800</v>
      </c>
      <c r="F9" s="5">
        <f>Costs!F18</f>
        <v>7800</v>
      </c>
      <c r="G9" s="5">
        <f>Costs!G18</f>
        <v>16560</v>
      </c>
      <c r="H9" s="5">
        <f>Costs!H18</f>
        <v>7800</v>
      </c>
      <c r="I9" s="5">
        <f>Costs!I18</f>
        <v>16560</v>
      </c>
      <c r="J9" s="5">
        <f>Costs!J18</f>
        <v>7800</v>
      </c>
      <c r="K9" s="5">
        <f>Costs!K18</f>
        <v>7800</v>
      </c>
      <c r="L9" s="5">
        <f>Costs!L18</f>
        <v>16560</v>
      </c>
      <c r="M9" s="5">
        <f>Costs!M18</f>
        <v>16560</v>
      </c>
      <c r="N9" s="5">
        <f>Costs!N18</f>
        <v>7800</v>
      </c>
      <c r="O9" s="5">
        <f>Costs!O18</f>
        <v>7800</v>
      </c>
      <c r="P9" s="5">
        <f>Costs!P18</f>
        <v>7800</v>
      </c>
      <c r="Q9" s="5">
        <f>Costs!Q18</f>
        <v>7800</v>
      </c>
      <c r="R9" s="5">
        <f>Costs!R18</f>
        <v>16560</v>
      </c>
      <c r="S9" s="5">
        <f>Costs!S18</f>
        <v>16560</v>
      </c>
      <c r="T9" s="5">
        <f>Costs!T18</f>
        <v>16560</v>
      </c>
      <c r="U9" s="5">
        <f>Costs!U18</f>
        <v>16560</v>
      </c>
      <c r="V9" s="5">
        <f>Costs!V18</f>
        <v>7800</v>
      </c>
      <c r="W9" s="5">
        <f>Costs!W18</f>
        <v>7800</v>
      </c>
      <c r="X9" s="5">
        <f>Costs!X18</f>
        <v>26920</v>
      </c>
      <c r="Y9" s="5">
        <f>Costs!Y18</f>
        <v>26920</v>
      </c>
      <c r="Z9" s="5">
        <f>Costs!Z18</f>
        <v>16560</v>
      </c>
      <c r="AA9" s="5">
        <f>Costs!AA18</f>
        <v>16560</v>
      </c>
      <c r="AB9" s="5">
        <f>Costs!AB18</f>
        <v>7800</v>
      </c>
      <c r="AC9" s="5">
        <f>Costs!AC18</f>
        <v>16560</v>
      </c>
      <c r="AD9" s="5">
        <f>Costs!AD18</f>
        <v>26920</v>
      </c>
      <c r="AE9" s="5">
        <f>Costs!AE18</f>
        <v>26920</v>
      </c>
      <c r="AF9" s="5">
        <f>Costs!AF18</f>
        <v>26920</v>
      </c>
      <c r="AG9" s="5">
        <f>Costs!AG18</f>
        <v>26920</v>
      </c>
      <c r="AH9" s="5">
        <f>Costs!AH18</f>
        <v>7800</v>
      </c>
      <c r="AI9" s="5">
        <f>Costs!AI18</f>
        <v>7800</v>
      </c>
      <c r="AJ9" s="5">
        <f>Costs!AJ18</f>
        <v>37280</v>
      </c>
      <c r="AK9" s="5">
        <f>Costs!AK18</f>
        <v>37280</v>
      </c>
      <c r="AL9" s="5">
        <f>Costs!AL18</f>
        <v>26920</v>
      </c>
      <c r="AM9" s="5">
        <f>Costs!AM18</f>
        <v>16560</v>
      </c>
    </row>
    <row r="10" spans="3:39" ht="23.1" customHeight="1">
      <c r="C10" s="4" t="s">
        <v>154</v>
      </c>
      <c r="D10" s="5">
        <f>Costs!D15</f>
        <v>12000</v>
      </c>
      <c r="E10" s="5">
        <f>Costs!E15</f>
        <v>0</v>
      </c>
      <c r="F10" s="5">
        <f>Costs!F15</f>
        <v>0</v>
      </c>
      <c r="G10" s="5">
        <f>Costs!G15</f>
        <v>0</v>
      </c>
      <c r="H10" s="5">
        <f>Costs!H15</f>
        <v>0</v>
      </c>
      <c r="I10" s="5">
        <f>Costs!I15</f>
        <v>0</v>
      </c>
      <c r="J10" s="5">
        <f>Costs!J15</f>
        <v>0</v>
      </c>
      <c r="K10" s="5">
        <f>Costs!K15</f>
        <v>0</v>
      </c>
      <c r="L10" s="5">
        <f>Costs!L15</f>
        <v>0</v>
      </c>
      <c r="M10" s="5">
        <f>Costs!M15</f>
        <v>0</v>
      </c>
      <c r="N10" s="5">
        <f>Costs!N15</f>
        <v>0</v>
      </c>
      <c r="O10" s="5">
        <f>Costs!O15</f>
        <v>0</v>
      </c>
      <c r="P10" s="5">
        <f>Costs!P15</f>
        <v>0</v>
      </c>
      <c r="Q10" s="5">
        <f>Costs!Q15</f>
        <v>0</v>
      </c>
      <c r="R10" s="5">
        <f>Costs!R15</f>
        <v>0</v>
      </c>
      <c r="S10" s="5">
        <f>Costs!S15</f>
        <v>0</v>
      </c>
      <c r="T10" s="5">
        <f>Costs!T15</f>
        <v>0</v>
      </c>
      <c r="U10" s="5">
        <f>Costs!U15</f>
        <v>0</v>
      </c>
      <c r="V10" s="5">
        <f>Costs!V15</f>
        <v>0</v>
      </c>
      <c r="W10" s="5">
        <f>Costs!W15</f>
        <v>0</v>
      </c>
      <c r="X10" s="5">
        <f>Costs!X15</f>
        <v>0</v>
      </c>
      <c r="Y10" s="5">
        <f>Costs!Y15</f>
        <v>0</v>
      </c>
      <c r="Z10" s="5">
        <f>Costs!Z15</f>
        <v>0</v>
      </c>
      <c r="AA10" s="5">
        <f>Costs!AA15</f>
        <v>0</v>
      </c>
      <c r="AB10" s="5">
        <f>Costs!AB15</f>
        <v>0</v>
      </c>
      <c r="AC10" s="5">
        <f>Costs!AC15</f>
        <v>0</v>
      </c>
      <c r="AD10" s="5">
        <f>Costs!AD15</f>
        <v>0</v>
      </c>
      <c r="AE10" s="5">
        <f>Costs!AE15</f>
        <v>0</v>
      </c>
      <c r="AF10" s="5">
        <f>Costs!AF15</f>
        <v>0</v>
      </c>
      <c r="AG10" s="5">
        <f>Costs!AG15</f>
        <v>0</v>
      </c>
      <c r="AH10" s="5">
        <f>Costs!AH15</f>
        <v>0</v>
      </c>
      <c r="AI10" s="5">
        <f>Costs!AI15</f>
        <v>0</v>
      </c>
      <c r="AJ10" s="5">
        <f>Costs!AJ15</f>
        <v>0</v>
      </c>
      <c r="AK10" s="5">
        <f>Costs!AK15</f>
        <v>0</v>
      </c>
      <c r="AL10" s="5">
        <f>Costs!AL15</f>
        <v>0</v>
      </c>
      <c r="AM10" s="5">
        <f>Costs!AM15</f>
        <v>0</v>
      </c>
    </row>
    <row r="11" spans="3:39" ht="23.1" customHeight="1">
      <c r="C11" s="4" t="s">
        <v>155</v>
      </c>
      <c r="D11" s="11">
        <f t="shared" ref="D11:AM11" si="0">D8-D9-D10</f>
        <v>-19800</v>
      </c>
      <c r="E11" s="11">
        <f t="shared" si="0"/>
        <v>-7800</v>
      </c>
      <c r="F11" s="11">
        <f t="shared" si="0"/>
        <v>-7800</v>
      </c>
      <c r="G11" s="11">
        <f t="shared" si="0"/>
        <v>-7560</v>
      </c>
      <c r="H11" s="11">
        <f t="shared" si="0"/>
        <v>1200</v>
      </c>
      <c r="I11" s="11">
        <f t="shared" si="0"/>
        <v>-7560</v>
      </c>
      <c r="J11" s="11">
        <f t="shared" si="0"/>
        <v>1200</v>
      </c>
      <c r="K11" s="11">
        <f t="shared" si="0"/>
        <v>-7800</v>
      </c>
      <c r="L11" s="11">
        <f t="shared" si="0"/>
        <v>-7560</v>
      </c>
      <c r="M11" s="11">
        <f t="shared" si="0"/>
        <v>1440</v>
      </c>
      <c r="N11" s="11">
        <f t="shared" si="0"/>
        <v>1200</v>
      </c>
      <c r="O11" s="11">
        <f t="shared" si="0"/>
        <v>-7800</v>
      </c>
      <c r="P11" s="11">
        <f t="shared" si="0"/>
        <v>-7800</v>
      </c>
      <c r="Q11" s="11">
        <f t="shared" si="0"/>
        <v>-7800</v>
      </c>
      <c r="R11" s="11">
        <f t="shared" si="0"/>
        <v>-7560</v>
      </c>
      <c r="S11" s="11">
        <f t="shared" si="0"/>
        <v>1440</v>
      </c>
      <c r="T11" s="11">
        <f t="shared" si="0"/>
        <v>1440</v>
      </c>
      <c r="U11" s="11">
        <f t="shared" si="0"/>
        <v>1440</v>
      </c>
      <c r="V11" s="11">
        <f t="shared" si="0"/>
        <v>1200</v>
      </c>
      <c r="W11" s="11">
        <f t="shared" si="0"/>
        <v>-7800</v>
      </c>
      <c r="X11" s="11">
        <f t="shared" si="0"/>
        <v>-8920</v>
      </c>
      <c r="Y11" s="11">
        <f t="shared" si="0"/>
        <v>9080</v>
      </c>
      <c r="Z11" s="11">
        <f t="shared" si="0"/>
        <v>10440</v>
      </c>
      <c r="AA11" s="11">
        <f t="shared" si="0"/>
        <v>1440</v>
      </c>
      <c r="AB11" s="11">
        <f t="shared" si="0"/>
        <v>1200</v>
      </c>
      <c r="AC11" s="11">
        <f t="shared" si="0"/>
        <v>-7560</v>
      </c>
      <c r="AD11" s="11">
        <f t="shared" si="0"/>
        <v>80</v>
      </c>
      <c r="AE11" s="11">
        <f t="shared" si="0"/>
        <v>9080</v>
      </c>
      <c r="AF11" s="11">
        <f t="shared" si="0"/>
        <v>9080</v>
      </c>
      <c r="AG11" s="11">
        <f t="shared" si="0"/>
        <v>9080</v>
      </c>
      <c r="AH11" s="11">
        <f t="shared" si="0"/>
        <v>10200</v>
      </c>
      <c r="AI11" s="11">
        <f t="shared" si="0"/>
        <v>-7800</v>
      </c>
      <c r="AJ11" s="11">
        <f t="shared" si="0"/>
        <v>-10280</v>
      </c>
      <c r="AK11" s="11">
        <f t="shared" si="0"/>
        <v>16720</v>
      </c>
      <c r="AL11" s="11">
        <f t="shared" si="0"/>
        <v>18080</v>
      </c>
      <c r="AM11" s="11">
        <f t="shared" si="0"/>
        <v>10440</v>
      </c>
    </row>
    <row r="12" spans="3:39" ht="23.1" customHeight="1">
      <c r="C12" s="4" t="s">
        <v>13</v>
      </c>
      <c r="D12" s="5">
        <f>D11+Assumptions!$E$26</f>
        <v>200</v>
      </c>
      <c r="E12" s="11">
        <f t="shared" ref="E12:AM12" si="1">E11+D12</f>
        <v>-7600</v>
      </c>
      <c r="F12" s="11">
        <f t="shared" si="1"/>
        <v>-15400</v>
      </c>
      <c r="G12" s="11">
        <f t="shared" si="1"/>
        <v>-22960</v>
      </c>
      <c r="H12" s="11">
        <f t="shared" si="1"/>
        <v>-21760</v>
      </c>
      <c r="I12" s="11">
        <f t="shared" si="1"/>
        <v>-29320</v>
      </c>
      <c r="J12" s="11">
        <f t="shared" si="1"/>
        <v>-28120</v>
      </c>
      <c r="K12" s="11">
        <f t="shared" si="1"/>
        <v>-35920</v>
      </c>
      <c r="L12" s="11">
        <f t="shared" si="1"/>
        <v>-43480</v>
      </c>
      <c r="M12" s="11">
        <f t="shared" si="1"/>
        <v>-42040</v>
      </c>
      <c r="N12" s="11">
        <f t="shared" si="1"/>
        <v>-40840</v>
      </c>
      <c r="O12" s="11">
        <f t="shared" si="1"/>
        <v>-48640</v>
      </c>
      <c r="P12" s="11">
        <f t="shared" si="1"/>
        <v>-56440</v>
      </c>
      <c r="Q12" s="11">
        <f t="shared" si="1"/>
        <v>-64240</v>
      </c>
      <c r="R12" s="11">
        <f t="shared" si="1"/>
        <v>-71800</v>
      </c>
      <c r="S12" s="11">
        <f t="shared" si="1"/>
        <v>-70360</v>
      </c>
      <c r="T12" s="11">
        <f t="shared" si="1"/>
        <v>-68920</v>
      </c>
      <c r="U12" s="11">
        <f t="shared" si="1"/>
        <v>-67480</v>
      </c>
      <c r="V12" s="11">
        <f t="shared" si="1"/>
        <v>-66280</v>
      </c>
      <c r="W12" s="11">
        <f t="shared" si="1"/>
        <v>-74080</v>
      </c>
      <c r="X12" s="11">
        <f t="shared" si="1"/>
        <v>-83000</v>
      </c>
      <c r="Y12" s="11">
        <f t="shared" si="1"/>
        <v>-73920</v>
      </c>
      <c r="Z12" s="11">
        <f t="shared" si="1"/>
        <v>-63480</v>
      </c>
      <c r="AA12" s="11">
        <f t="shared" si="1"/>
        <v>-62040</v>
      </c>
      <c r="AB12" s="11">
        <f t="shared" si="1"/>
        <v>-60840</v>
      </c>
      <c r="AC12" s="11">
        <f t="shared" si="1"/>
        <v>-68400</v>
      </c>
      <c r="AD12" s="11">
        <f t="shared" si="1"/>
        <v>-68320</v>
      </c>
      <c r="AE12" s="11">
        <f t="shared" si="1"/>
        <v>-59240</v>
      </c>
      <c r="AF12" s="11">
        <f t="shared" si="1"/>
        <v>-50160</v>
      </c>
      <c r="AG12" s="11">
        <f t="shared" si="1"/>
        <v>-41080</v>
      </c>
      <c r="AH12" s="11">
        <f t="shared" si="1"/>
        <v>-30880</v>
      </c>
      <c r="AI12" s="11">
        <f t="shared" si="1"/>
        <v>-38680</v>
      </c>
      <c r="AJ12" s="11">
        <f t="shared" si="1"/>
        <v>-48960</v>
      </c>
      <c r="AK12" s="11">
        <f t="shared" si="1"/>
        <v>-32240</v>
      </c>
      <c r="AL12" s="11">
        <f t="shared" si="1"/>
        <v>-14160</v>
      </c>
      <c r="AM12" s="11">
        <f t="shared" si="1"/>
        <v>-3720</v>
      </c>
    </row>
    <row r="13" spans="3:39" ht="23.1" customHeight="1">
      <c r="C13" s="4" t="s">
        <v>149</v>
      </c>
      <c r="D13" s="5">
        <f>Financing!D8</f>
        <v>103000</v>
      </c>
      <c r="E13" s="11">
        <f>0</f>
        <v>0</v>
      </c>
      <c r="F13" s="11">
        <f>0</f>
        <v>0</v>
      </c>
      <c r="G13" s="11">
        <f>0</f>
        <v>0</v>
      </c>
      <c r="H13" s="11">
        <f>0</f>
        <v>0</v>
      </c>
      <c r="I13" s="11">
        <f>0</f>
        <v>0</v>
      </c>
      <c r="J13" s="11">
        <f>0</f>
        <v>0</v>
      </c>
      <c r="K13" s="11">
        <f>0</f>
        <v>0</v>
      </c>
      <c r="L13" s="11">
        <f>0</f>
        <v>0</v>
      </c>
      <c r="M13" s="11">
        <f>0</f>
        <v>0</v>
      </c>
      <c r="N13" s="11">
        <f>0</f>
        <v>0</v>
      </c>
      <c r="O13" s="11">
        <f>0</f>
        <v>0</v>
      </c>
      <c r="P13" s="11">
        <f>0</f>
        <v>0</v>
      </c>
      <c r="Q13" s="11">
        <f>0</f>
        <v>0</v>
      </c>
      <c r="R13" s="11">
        <f>0</f>
        <v>0</v>
      </c>
      <c r="S13" s="11">
        <f>0</f>
        <v>0</v>
      </c>
      <c r="T13" s="11">
        <f>0</f>
        <v>0</v>
      </c>
      <c r="U13" s="11">
        <f>0</f>
        <v>0</v>
      </c>
      <c r="V13" s="11">
        <f>0</f>
        <v>0</v>
      </c>
      <c r="W13" s="11">
        <f>0</f>
        <v>0</v>
      </c>
      <c r="X13" s="11">
        <f>0</f>
        <v>0</v>
      </c>
      <c r="Y13" s="11">
        <f>0</f>
        <v>0</v>
      </c>
      <c r="Z13" s="11">
        <f>0</f>
        <v>0</v>
      </c>
      <c r="AA13" s="11">
        <f>0</f>
        <v>0</v>
      </c>
      <c r="AB13" s="11">
        <f>0</f>
        <v>0</v>
      </c>
      <c r="AC13" s="11">
        <f>0</f>
        <v>0</v>
      </c>
      <c r="AD13" s="11">
        <f>0</f>
        <v>0</v>
      </c>
      <c r="AE13" s="11">
        <f>0</f>
        <v>0</v>
      </c>
      <c r="AF13" s="11">
        <f>0</f>
        <v>0</v>
      </c>
      <c r="AG13" s="11">
        <f>0</f>
        <v>0</v>
      </c>
      <c r="AH13" s="11">
        <f>0</f>
        <v>0</v>
      </c>
      <c r="AI13" s="11">
        <f>0</f>
        <v>0</v>
      </c>
      <c r="AJ13" s="11">
        <f>0</f>
        <v>0</v>
      </c>
      <c r="AK13" s="11">
        <f>0</f>
        <v>0</v>
      </c>
      <c r="AL13" s="11">
        <f>0</f>
        <v>0</v>
      </c>
      <c r="AM13" s="11">
        <f>0</f>
        <v>0</v>
      </c>
    </row>
    <row r="14" spans="3:39" ht="23.1" customHeight="1">
      <c r="C14" s="4" t="s">
        <v>14</v>
      </c>
      <c r="D14" s="11">
        <f>D12+SUM($D13:D13)</f>
        <v>103200</v>
      </c>
      <c r="E14" s="11">
        <f>E12+SUM($D13:E13)</f>
        <v>95400</v>
      </c>
      <c r="F14" s="11">
        <f>F12+SUM($D13:F13)</f>
        <v>87600</v>
      </c>
      <c r="G14" s="11">
        <f>G12+SUM($D13:G13)</f>
        <v>80040</v>
      </c>
      <c r="H14" s="11">
        <f>H12+SUM($D13:H13)</f>
        <v>81240</v>
      </c>
      <c r="I14" s="11">
        <f>I12+SUM($D13:I13)</f>
        <v>73680</v>
      </c>
      <c r="J14" s="11">
        <f>J12+SUM($D13:J13)</f>
        <v>74880</v>
      </c>
      <c r="K14" s="11">
        <f>K12+SUM($D13:K13)</f>
        <v>67080</v>
      </c>
      <c r="L14" s="11">
        <f>L12+SUM($D13:L13)</f>
        <v>59520</v>
      </c>
      <c r="M14" s="11">
        <f>M12+SUM($D13:M13)</f>
        <v>60960</v>
      </c>
      <c r="N14" s="11">
        <f>N12+SUM($D13:N13)</f>
        <v>62160</v>
      </c>
      <c r="O14" s="11">
        <f>O12+SUM($D13:O13)</f>
        <v>54360</v>
      </c>
      <c r="P14" s="11">
        <f>P12+SUM($D13:P13)</f>
        <v>46560</v>
      </c>
      <c r="Q14" s="11">
        <f>Q12+SUM($D13:Q13)</f>
        <v>38760</v>
      </c>
      <c r="R14" s="11">
        <f>R12+SUM($D13:R13)</f>
        <v>31200</v>
      </c>
      <c r="S14" s="11">
        <f>S12+SUM($D13:S13)</f>
        <v>32640</v>
      </c>
      <c r="T14" s="11">
        <f>T12+SUM($D13:T13)</f>
        <v>34080</v>
      </c>
      <c r="U14" s="11">
        <f>U12+SUM($D13:U13)</f>
        <v>35520</v>
      </c>
      <c r="V14" s="11">
        <f>V12+SUM($D13:V13)</f>
        <v>36720</v>
      </c>
      <c r="W14" s="11">
        <f>W12+SUM($D13:W13)</f>
        <v>28920</v>
      </c>
      <c r="X14" s="11">
        <f>X12+SUM($D13:X13)</f>
        <v>20000</v>
      </c>
      <c r="Y14" s="11">
        <f>Y12+SUM($D13:Y13)</f>
        <v>29080</v>
      </c>
      <c r="Z14" s="11">
        <f>Z12+SUM($D13:Z13)</f>
        <v>39520</v>
      </c>
      <c r="AA14" s="11">
        <f>AA12+SUM($D13:AA13)</f>
        <v>40960</v>
      </c>
      <c r="AB14" s="11">
        <f>AB12+SUM($D13:AB13)</f>
        <v>42160</v>
      </c>
      <c r="AC14" s="11">
        <f>AC12+SUM($D13:AC13)</f>
        <v>34600</v>
      </c>
      <c r="AD14" s="11">
        <f>AD12+SUM($D13:AD13)</f>
        <v>34680</v>
      </c>
      <c r="AE14" s="11">
        <f>AE12+SUM($D13:AE13)</f>
        <v>43760</v>
      </c>
      <c r="AF14" s="11">
        <f>AF12+SUM($D13:AF13)</f>
        <v>52840</v>
      </c>
      <c r="AG14" s="11">
        <f>AG12+SUM($D13:AG13)</f>
        <v>61920</v>
      </c>
      <c r="AH14" s="11">
        <f>AH12+SUM($D13:AH13)</f>
        <v>72120</v>
      </c>
      <c r="AI14" s="11">
        <f>AI12+SUM($D13:AI13)</f>
        <v>64320</v>
      </c>
      <c r="AJ14" s="11">
        <f>AJ12+SUM($D13:AJ13)</f>
        <v>54040</v>
      </c>
      <c r="AK14" s="11">
        <f>AK12+SUM($D13:AK13)</f>
        <v>70760</v>
      </c>
      <c r="AL14" s="11">
        <f>AL12+SUM($D13:AL13)</f>
        <v>88840</v>
      </c>
      <c r="AM14" s="11">
        <f>AM12+SUM($D13:AM13)</f>
        <v>99280</v>
      </c>
    </row>
    <row r="15" spans="3:39" ht="23.1" customHeight="1">
      <c r="C15" s="4" t="s">
        <v>156</v>
      </c>
      <c r="D15" s="5">
        <f>Assumptions!$E$27</f>
        <v>20000</v>
      </c>
      <c r="E15" s="5">
        <f>Assumptions!$E$27</f>
        <v>20000</v>
      </c>
      <c r="F15" s="5">
        <f>Assumptions!$E$27</f>
        <v>20000</v>
      </c>
      <c r="G15" s="5">
        <f>Assumptions!$E$27</f>
        <v>20000</v>
      </c>
      <c r="H15" s="5">
        <f>Assumptions!$E$27</f>
        <v>20000</v>
      </c>
      <c r="I15" s="5">
        <f>Assumptions!$E$27</f>
        <v>20000</v>
      </c>
      <c r="J15" s="5">
        <f>Assumptions!$E$27</f>
        <v>20000</v>
      </c>
      <c r="K15" s="5">
        <f>Assumptions!$E$27</f>
        <v>20000</v>
      </c>
      <c r="L15" s="5">
        <f>Assumptions!$E$27</f>
        <v>20000</v>
      </c>
      <c r="M15" s="5">
        <f>Assumptions!$E$27</f>
        <v>20000</v>
      </c>
      <c r="N15" s="5">
        <f>Assumptions!$E$27</f>
        <v>20000</v>
      </c>
      <c r="O15" s="5">
        <f>Assumptions!$E$27</f>
        <v>20000</v>
      </c>
      <c r="P15" s="5">
        <f>Assumptions!$E$27</f>
        <v>20000</v>
      </c>
      <c r="Q15" s="5">
        <f>Assumptions!$E$27</f>
        <v>20000</v>
      </c>
      <c r="R15" s="5">
        <f>Assumptions!$E$27</f>
        <v>20000</v>
      </c>
      <c r="S15" s="5">
        <f>Assumptions!$E$27</f>
        <v>20000</v>
      </c>
      <c r="T15" s="5">
        <f>Assumptions!$E$27</f>
        <v>20000</v>
      </c>
      <c r="U15" s="5">
        <f>Assumptions!$E$27</f>
        <v>20000</v>
      </c>
      <c r="V15" s="5">
        <f>Assumptions!$E$27</f>
        <v>20000</v>
      </c>
      <c r="W15" s="5">
        <f>Assumptions!$E$27</f>
        <v>20000</v>
      </c>
      <c r="X15" s="5">
        <f>Assumptions!$E$27</f>
        <v>20000</v>
      </c>
      <c r="Y15" s="5">
        <f>Assumptions!$E$27</f>
        <v>20000</v>
      </c>
      <c r="Z15" s="5">
        <f>Assumptions!$E$27</f>
        <v>20000</v>
      </c>
      <c r="AA15" s="5">
        <f>Assumptions!$E$27</f>
        <v>20000</v>
      </c>
      <c r="AB15" s="5">
        <f>Assumptions!$E$27</f>
        <v>20000</v>
      </c>
      <c r="AC15" s="5">
        <f>Assumptions!$E$27</f>
        <v>20000</v>
      </c>
      <c r="AD15" s="5">
        <f>Assumptions!$E$27</f>
        <v>20000</v>
      </c>
      <c r="AE15" s="5">
        <f>Assumptions!$E$27</f>
        <v>20000</v>
      </c>
      <c r="AF15" s="5">
        <f>Assumptions!$E$27</f>
        <v>20000</v>
      </c>
      <c r="AG15" s="5">
        <f>Assumptions!$E$27</f>
        <v>20000</v>
      </c>
      <c r="AH15" s="5">
        <f>Assumptions!$E$27</f>
        <v>20000</v>
      </c>
      <c r="AI15" s="5">
        <f>Assumptions!$E$27</f>
        <v>20000</v>
      </c>
      <c r="AJ15" s="5">
        <f>Assumptions!$E$27</f>
        <v>20000</v>
      </c>
      <c r="AK15" s="5">
        <f>Assumptions!$E$27</f>
        <v>20000</v>
      </c>
      <c r="AL15" s="5">
        <f>Assumptions!$E$27</f>
        <v>20000</v>
      </c>
      <c r="AM15" s="5">
        <f>Assumptions!$E$27</f>
        <v>20000</v>
      </c>
    </row>
    <row r="16" spans="3:39" ht="23.1" customHeight="1">
      <c r="C16" s="4" t="s">
        <v>157</v>
      </c>
      <c r="D16" s="11">
        <f t="shared" ref="D16:AM16" si="2">D14-D15</f>
        <v>83200</v>
      </c>
      <c r="E16" s="11">
        <f t="shared" si="2"/>
        <v>75400</v>
      </c>
      <c r="F16" s="11">
        <f t="shared" si="2"/>
        <v>67600</v>
      </c>
      <c r="G16" s="11">
        <f t="shared" si="2"/>
        <v>60040</v>
      </c>
      <c r="H16" s="11">
        <f t="shared" si="2"/>
        <v>61240</v>
      </c>
      <c r="I16" s="11">
        <f t="shared" si="2"/>
        <v>53680</v>
      </c>
      <c r="J16" s="11">
        <f t="shared" si="2"/>
        <v>54880</v>
      </c>
      <c r="K16" s="11">
        <f t="shared" si="2"/>
        <v>47080</v>
      </c>
      <c r="L16" s="11">
        <f t="shared" si="2"/>
        <v>39520</v>
      </c>
      <c r="M16" s="11">
        <f t="shared" si="2"/>
        <v>40960</v>
      </c>
      <c r="N16" s="11">
        <f t="shared" si="2"/>
        <v>42160</v>
      </c>
      <c r="O16" s="11">
        <f t="shared" si="2"/>
        <v>34360</v>
      </c>
      <c r="P16" s="11">
        <f t="shared" si="2"/>
        <v>26560</v>
      </c>
      <c r="Q16" s="11">
        <f t="shared" si="2"/>
        <v>18760</v>
      </c>
      <c r="R16" s="11">
        <f t="shared" si="2"/>
        <v>11200</v>
      </c>
      <c r="S16" s="11">
        <f t="shared" si="2"/>
        <v>12640</v>
      </c>
      <c r="T16" s="11">
        <f t="shared" si="2"/>
        <v>14080</v>
      </c>
      <c r="U16" s="11">
        <f t="shared" si="2"/>
        <v>15520</v>
      </c>
      <c r="V16" s="11">
        <f t="shared" si="2"/>
        <v>16720</v>
      </c>
      <c r="W16" s="11">
        <f t="shared" si="2"/>
        <v>8920</v>
      </c>
      <c r="X16" s="11">
        <f t="shared" si="2"/>
        <v>0</v>
      </c>
      <c r="Y16" s="11">
        <f t="shared" si="2"/>
        <v>9080</v>
      </c>
      <c r="Z16" s="11">
        <f t="shared" si="2"/>
        <v>19520</v>
      </c>
      <c r="AA16" s="11">
        <f t="shared" si="2"/>
        <v>20960</v>
      </c>
      <c r="AB16" s="11">
        <f t="shared" si="2"/>
        <v>22160</v>
      </c>
      <c r="AC16" s="11">
        <f t="shared" si="2"/>
        <v>14600</v>
      </c>
      <c r="AD16" s="11">
        <f t="shared" si="2"/>
        <v>14680</v>
      </c>
      <c r="AE16" s="11">
        <f t="shared" si="2"/>
        <v>23760</v>
      </c>
      <c r="AF16" s="11">
        <f t="shared" si="2"/>
        <v>32840</v>
      </c>
      <c r="AG16" s="11">
        <f t="shared" si="2"/>
        <v>41920</v>
      </c>
      <c r="AH16" s="11">
        <f t="shared" si="2"/>
        <v>52120</v>
      </c>
      <c r="AI16" s="11">
        <f t="shared" si="2"/>
        <v>44320</v>
      </c>
      <c r="AJ16" s="11">
        <f t="shared" si="2"/>
        <v>34040</v>
      </c>
      <c r="AK16" s="11">
        <f t="shared" si="2"/>
        <v>50760</v>
      </c>
      <c r="AL16" s="11">
        <f t="shared" si="2"/>
        <v>68840</v>
      </c>
      <c r="AM16" s="11">
        <f t="shared" si="2"/>
        <v>79280</v>
      </c>
    </row>
    <row r="17" spans="3:39" ht="23.1" customHeight="1"/>
    <row r="18" spans="3:39" ht="23.1" customHeight="1"/>
    <row r="19" spans="3:39" ht="23.1" customHeight="1"/>
    <row r="20" spans="3:39" ht="23.1" customHeight="1"/>
    <row r="21" spans="3:39" ht="23.1" customHeight="1"/>
    <row r="22" spans="3:39" ht="23.1" customHeight="1"/>
    <row r="23" spans="3:39" ht="23.1" customHeight="1"/>
    <row r="24" spans="3:39" ht="23.1" customHeight="1"/>
    <row r="25" spans="3:39" ht="23.1" customHeight="1"/>
    <row r="26" spans="3:39" ht="23.1" customHeight="1"/>
    <row r="27" spans="3:39" ht="23.1" customHeight="1"/>
    <row r="28" spans="3:39" ht="23.1" customHeight="1"/>
    <row r="29" spans="3:39" ht="23.1" customHeight="1"/>
    <row r="30" spans="3:39" ht="30" customHeight="1">
      <c r="C30" s="3" t="s">
        <v>28</v>
      </c>
      <c r="D30" s="10">
        <v>46388</v>
      </c>
      <c r="E30" s="10">
        <v>46419</v>
      </c>
      <c r="F30" s="10">
        <v>46447</v>
      </c>
      <c r="G30" s="10">
        <v>46478</v>
      </c>
      <c r="H30" s="10">
        <v>46508</v>
      </c>
      <c r="I30" s="10">
        <v>46539</v>
      </c>
      <c r="J30" s="10">
        <v>46569</v>
      </c>
      <c r="K30" s="10">
        <v>46600</v>
      </c>
      <c r="L30" s="10">
        <v>46631</v>
      </c>
      <c r="M30" s="10">
        <v>46661</v>
      </c>
      <c r="N30" s="10">
        <v>46692</v>
      </c>
      <c r="O30" s="10">
        <v>46722</v>
      </c>
      <c r="P30" s="10">
        <v>46753</v>
      </c>
      <c r="Q30" s="10">
        <v>46784</v>
      </c>
      <c r="R30" s="10">
        <v>46813</v>
      </c>
      <c r="S30" s="10">
        <v>46844</v>
      </c>
      <c r="T30" s="10">
        <v>46874</v>
      </c>
      <c r="U30" s="10">
        <v>46905</v>
      </c>
      <c r="V30" s="10">
        <v>46935</v>
      </c>
      <c r="W30" s="10">
        <v>46966</v>
      </c>
      <c r="X30" s="10">
        <v>46997</v>
      </c>
      <c r="Y30" s="10">
        <v>47027</v>
      </c>
      <c r="Z30" s="10">
        <v>47058</v>
      </c>
      <c r="AA30" s="10">
        <v>47088</v>
      </c>
      <c r="AB30" s="10">
        <v>47119</v>
      </c>
      <c r="AC30" s="10">
        <v>47150</v>
      </c>
      <c r="AD30" s="10">
        <v>47178</v>
      </c>
      <c r="AE30" s="10">
        <v>47209</v>
      </c>
      <c r="AF30" s="10">
        <v>47239</v>
      </c>
      <c r="AG30" s="10">
        <v>47270</v>
      </c>
      <c r="AH30" s="10">
        <v>47300</v>
      </c>
      <c r="AI30" s="10">
        <v>47331</v>
      </c>
      <c r="AJ30" s="10">
        <v>47362</v>
      </c>
      <c r="AK30" s="10">
        <v>47392</v>
      </c>
      <c r="AL30" s="10">
        <v>47423</v>
      </c>
      <c r="AM30" s="10">
        <v>47453</v>
      </c>
    </row>
    <row r="31" spans="3:39" ht="23.1" customHeight="1">
      <c r="C31" s="4" t="s">
        <v>10</v>
      </c>
      <c r="D31" s="5">
        <f>Revenue!D27</f>
        <v>0</v>
      </c>
      <c r="E31" s="5">
        <f>Revenue!E27</f>
        <v>0</v>
      </c>
      <c r="F31" s="5">
        <f>Revenue!F27</f>
        <v>0</v>
      </c>
      <c r="G31" s="5">
        <f>Revenue!G27</f>
        <v>0</v>
      </c>
      <c r="H31" s="5">
        <f>Revenue!H27</f>
        <v>15000</v>
      </c>
      <c r="I31" s="5">
        <f>Revenue!I27</f>
        <v>0</v>
      </c>
      <c r="J31" s="5">
        <f>Revenue!J27</f>
        <v>0</v>
      </c>
      <c r="K31" s="5">
        <f>Revenue!K27</f>
        <v>0</v>
      </c>
      <c r="L31" s="5">
        <f>Revenue!L27</f>
        <v>0</v>
      </c>
      <c r="M31" s="5">
        <f>Revenue!M27</f>
        <v>15000</v>
      </c>
      <c r="N31" s="5">
        <f>Revenue!N27</f>
        <v>0</v>
      </c>
      <c r="O31" s="5">
        <f>Revenue!O27</f>
        <v>0</v>
      </c>
      <c r="P31" s="5">
        <f>Revenue!P27</f>
        <v>0</v>
      </c>
      <c r="Q31" s="5">
        <f>Revenue!Q27</f>
        <v>0</v>
      </c>
      <c r="R31" s="5">
        <f>Revenue!R27</f>
        <v>0</v>
      </c>
      <c r="S31" s="5">
        <f>Revenue!S27</f>
        <v>15000</v>
      </c>
      <c r="T31" s="5">
        <f>Revenue!T27</f>
        <v>0</v>
      </c>
      <c r="U31" s="5">
        <f>Revenue!U27</f>
        <v>15000</v>
      </c>
      <c r="V31" s="5">
        <f>Revenue!V27</f>
        <v>0</v>
      </c>
      <c r="W31" s="5">
        <f>Revenue!W27</f>
        <v>0</v>
      </c>
      <c r="X31" s="5">
        <f>Revenue!X27</f>
        <v>15000</v>
      </c>
      <c r="Y31" s="5">
        <f>Revenue!Y27</f>
        <v>15000</v>
      </c>
      <c r="Z31" s="5">
        <f>Revenue!Z27</f>
        <v>0</v>
      </c>
      <c r="AA31" s="5">
        <f>Revenue!AA27</f>
        <v>0</v>
      </c>
      <c r="AB31" s="5">
        <f>Revenue!AB27</f>
        <v>0</v>
      </c>
      <c r="AC31" s="5">
        <f>Revenue!AC27</f>
        <v>0</v>
      </c>
      <c r="AD31" s="5">
        <f>Revenue!AD27</f>
        <v>15000</v>
      </c>
      <c r="AE31" s="5">
        <f>Revenue!AE27</f>
        <v>0</v>
      </c>
      <c r="AF31" s="5">
        <f>Revenue!AF27</f>
        <v>15000</v>
      </c>
      <c r="AG31" s="5">
        <f>Revenue!AG27</f>
        <v>15000</v>
      </c>
      <c r="AH31" s="5">
        <f>Revenue!AH27</f>
        <v>0</v>
      </c>
      <c r="AI31" s="5">
        <f>Revenue!AI27</f>
        <v>0</v>
      </c>
      <c r="AJ31" s="5">
        <f>Revenue!AJ27</f>
        <v>15000</v>
      </c>
      <c r="AK31" s="5">
        <f>Revenue!AK27</f>
        <v>15000</v>
      </c>
      <c r="AL31" s="5">
        <f>Revenue!AL27</f>
        <v>15000</v>
      </c>
      <c r="AM31" s="5">
        <f>Revenue!AM27</f>
        <v>0</v>
      </c>
    </row>
    <row r="32" spans="3:39" ht="23.1" customHeight="1">
      <c r="C32" s="4" t="s">
        <v>118</v>
      </c>
      <c r="D32" s="5">
        <f>Revenue!D28</f>
        <v>0</v>
      </c>
      <c r="E32" s="5">
        <f>Revenue!E28</f>
        <v>0</v>
      </c>
      <c r="F32" s="5">
        <f>Revenue!F28</f>
        <v>0</v>
      </c>
      <c r="G32" s="5">
        <f>Revenue!G28</f>
        <v>0</v>
      </c>
      <c r="H32" s="5">
        <f>Revenue!H28</f>
        <v>4500</v>
      </c>
      <c r="I32" s="5">
        <f>Revenue!I28</f>
        <v>10500</v>
      </c>
      <c r="J32" s="5">
        <f>Revenue!J28</f>
        <v>0</v>
      </c>
      <c r="K32" s="5">
        <f>Revenue!K28</f>
        <v>0</v>
      </c>
      <c r="L32" s="5">
        <f>Revenue!L28</f>
        <v>0</v>
      </c>
      <c r="M32" s="5">
        <f>Revenue!M28</f>
        <v>4500</v>
      </c>
      <c r="N32" s="5">
        <f>Revenue!N28</f>
        <v>10500</v>
      </c>
      <c r="O32" s="5">
        <f>Revenue!O28</f>
        <v>0</v>
      </c>
      <c r="P32" s="5">
        <f>Revenue!P28</f>
        <v>0</v>
      </c>
      <c r="Q32" s="5">
        <f>Revenue!Q28</f>
        <v>0</v>
      </c>
      <c r="R32" s="5">
        <f>Revenue!R28</f>
        <v>0</v>
      </c>
      <c r="S32" s="5">
        <f>Revenue!S28</f>
        <v>4500</v>
      </c>
      <c r="T32" s="5">
        <f>Revenue!T28</f>
        <v>10500</v>
      </c>
      <c r="U32" s="5">
        <f>Revenue!U28</f>
        <v>4500</v>
      </c>
      <c r="V32" s="5">
        <f>Revenue!V28</f>
        <v>10500</v>
      </c>
      <c r="W32" s="5">
        <f>Revenue!W28</f>
        <v>0</v>
      </c>
      <c r="X32" s="5">
        <f>Revenue!X28</f>
        <v>4500</v>
      </c>
      <c r="Y32" s="5">
        <f>Revenue!Y28</f>
        <v>15000</v>
      </c>
      <c r="Z32" s="5">
        <f>Revenue!Z28</f>
        <v>10500</v>
      </c>
      <c r="AA32" s="5">
        <f>Revenue!AA28</f>
        <v>0</v>
      </c>
      <c r="AB32" s="5">
        <f>Revenue!AB28</f>
        <v>0</v>
      </c>
      <c r="AC32" s="5">
        <f>Revenue!AC28</f>
        <v>0</v>
      </c>
      <c r="AD32" s="5">
        <f>Revenue!AD28</f>
        <v>4500</v>
      </c>
      <c r="AE32" s="5">
        <f>Revenue!AE28</f>
        <v>10500</v>
      </c>
      <c r="AF32" s="5">
        <f>Revenue!AF28</f>
        <v>4500</v>
      </c>
      <c r="AG32" s="5">
        <f>Revenue!AG28</f>
        <v>15000</v>
      </c>
      <c r="AH32" s="5">
        <f>Revenue!AH28</f>
        <v>10500</v>
      </c>
      <c r="AI32" s="5">
        <f>Revenue!AI28</f>
        <v>0</v>
      </c>
      <c r="AJ32" s="5">
        <f>Revenue!AJ28</f>
        <v>4500</v>
      </c>
      <c r="AK32" s="5">
        <f>Revenue!AK28</f>
        <v>15000</v>
      </c>
      <c r="AL32" s="5">
        <f>Revenue!AL28</f>
        <v>15000</v>
      </c>
      <c r="AM32" s="5">
        <f>Revenue!AM28</f>
        <v>10500</v>
      </c>
    </row>
    <row r="33" spans="3:39" ht="23.1" customHeight="1">
      <c r="C33" s="4" t="s">
        <v>153</v>
      </c>
      <c r="D33" s="5">
        <f>Costs!D42</f>
        <v>7800</v>
      </c>
      <c r="E33" s="5">
        <f>Costs!E42</f>
        <v>7800</v>
      </c>
      <c r="F33" s="5">
        <f>Costs!F42</f>
        <v>7800</v>
      </c>
      <c r="G33" s="5">
        <f>Costs!G42</f>
        <v>7800</v>
      </c>
      <c r="H33" s="5">
        <f>Costs!H42</f>
        <v>21600</v>
      </c>
      <c r="I33" s="5">
        <f>Costs!I42</f>
        <v>7800</v>
      </c>
      <c r="J33" s="5">
        <f>Costs!J42</f>
        <v>7800</v>
      </c>
      <c r="K33" s="5">
        <f>Costs!K42</f>
        <v>7800</v>
      </c>
      <c r="L33" s="5">
        <f>Costs!L42</f>
        <v>7800</v>
      </c>
      <c r="M33" s="5">
        <f>Costs!M42</f>
        <v>21600</v>
      </c>
      <c r="N33" s="5">
        <f>Costs!N42</f>
        <v>7800</v>
      </c>
      <c r="O33" s="5">
        <f>Costs!O42</f>
        <v>7800</v>
      </c>
      <c r="P33" s="5">
        <f>Costs!P42</f>
        <v>7800</v>
      </c>
      <c r="Q33" s="5">
        <f>Costs!Q42</f>
        <v>7800</v>
      </c>
      <c r="R33" s="5">
        <f>Costs!R42</f>
        <v>7800</v>
      </c>
      <c r="S33" s="5">
        <f>Costs!S42</f>
        <v>21600</v>
      </c>
      <c r="T33" s="5">
        <f>Costs!T42</f>
        <v>7800</v>
      </c>
      <c r="U33" s="5">
        <f>Costs!U42</f>
        <v>21600</v>
      </c>
      <c r="V33" s="5">
        <f>Costs!V42</f>
        <v>7800</v>
      </c>
      <c r="W33" s="5">
        <f>Costs!W42</f>
        <v>7800</v>
      </c>
      <c r="X33" s="5">
        <f>Costs!X42</f>
        <v>21600</v>
      </c>
      <c r="Y33" s="5">
        <f>Costs!Y42</f>
        <v>21600</v>
      </c>
      <c r="Z33" s="5">
        <f>Costs!Z42</f>
        <v>7800</v>
      </c>
      <c r="AA33" s="5">
        <f>Costs!AA42</f>
        <v>7800</v>
      </c>
      <c r="AB33" s="5">
        <f>Costs!AB42</f>
        <v>7800</v>
      </c>
      <c r="AC33" s="5">
        <f>Costs!AC42</f>
        <v>7800</v>
      </c>
      <c r="AD33" s="5">
        <f>Costs!AD42</f>
        <v>21600</v>
      </c>
      <c r="AE33" s="5">
        <f>Costs!AE42</f>
        <v>7800</v>
      </c>
      <c r="AF33" s="5">
        <f>Costs!AF42</f>
        <v>21600</v>
      </c>
      <c r="AG33" s="5">
        <f>Costs!AG42</f>
        <v>21600</v>
      </c>
      <c r="AH33" s="5">
        <f>Costs!AH42</f>
        <v>7800</v>
      </c>
      <c r="AI33" s="5">
        <f>Costs!AI42</f>
        <v>7800</v>
      </c>
      <c r="AJ33" s="5">
        <f>Costs!AJ42</f>
        <v>21600</v>
      </c>
      <c r="AK33" s="5">
        <f>Costs!AK42</f>
        <v>21600</v>
      </c>
      <c r="AL33" s="5">
        <f>Costs!AL42</f>
        <v>21600</v>
      </c>
      <c r="AM33" s="5">
        <f>Costs!AM42</f>
        <v>7800</v>
      </c>
    </row>
    <row r="34" spans="3:39" ht="23.1" customHeight="1">
      <c r="C34" s="4" t="s">
        <v>154</v>
      </c>
      <c r="D34" s="5">
        <f>Costs!D39</f>
        <v>12000</v>
      </c>
      <c r="E34" s="5">
        <f>Costs!E39</f>
        <v>0</v>
      </c>
      <c r="F34" s="5">
        <f>Costs!F39</f>
        <v>0</v>
      </c>
      <c r="G34" s="5">
        <f>Costs!G39</f>
        <v>0</v>
      </c>
      <c r="H34" s="5">
        <f>Costs!H39</f>
        <v>0</v>
      </c>
      <c r="I34" s="5">
        <f>Costs!I39</f>
        <v>0</v>
      </c>
      <c r="J34" s="5">
        <f>Costs!J39</f>
        <v>0</v>
      </c>
      <c r="K34" s="5">
        <f>Costs!K39</f>
        <v>0</v>
      </c>
      <c r="L34" s="5">
        <f>Costs!L39</f>
        <v>0</v>
      </c>
      <c r="M34" s="5">
        <f>Costs!M39</f>
        <v>0</v>
      </c>
      <c r="N34" s="5">
        <f>Costs!N39</f>
        <v>0</v>
      </c>
      <c r="O34" s="5">
        <f>Costs!O39</f>
        <v>0</v>
      </c>
      <c r="P34" s="5">
        <f>Costs!P39</f>
        <v>0</v>
      </c>
      <c r="Q34" s="5">
        <f>Costs!Q39</f>
        <v>0</v>
      </c>
      <c r="R34" s="5">
        <f>Costs!R39</f>
        <v>0</v>
      </c>
      <c r="S34" s="5">
        <f>Costs!S39</f>
        <v>0</v>
      </c>
      <c r="T34" s="5">
        <f>Costs!T39</f>
        <v>0</v>
      </c>
      <c r="U34" s="5">
        <f>Costs!U39</f>
        <v>0</v>
      </c>
      <c r="V34" s="5">
        <f>Costs!V39</f>
        <v>0</v>
      </c>
      <c r="W34" s="5">
        <f>Costs!W39</f>
        <v>0</v>
      </c>
      <c r="X34" s="5">
        <f>Costs!X39</f>
        <v>0</v>
      </c>
      <c r="Y34" s="5">
        <f>Costs!Y39</f>
        <v>0</v>
      </c>
      <c r="Z34" s="5">
        <f>Costs!Z39</f>
        <v>0</v>
      </c>
      <c r="AA34" s="5">
        <f>Costs!AA39</f>
        <v>0</v>
      </c>
      <c r="AB34" s="5">
        <f>Costs!AB39</f>
        <v>0</v>
      </c>
      <c r="AC34" s="5">
        <f>Costs!AC39</f>
        <v>0</v>
      </c>
      <c r="AD34" s="5">
        <f>Costs!AD39</f>
        <v>0</v>
      </c>
      <c r="AE34" s="5">
        <f>Costs!AE39</f>
        <v>0</v>
      </c>
      <c r="AF34" s="5">
        <f>Costs!AF39</f>
        <v>0</v>
      </c>
      <c r="AG34" s="5">
        <f>Costs!AG39</f>
        <v>0</v>
      </c>
      <c r="AH34" s="5">
        <f>Costs!AH39</f>
        <v>0</v>
      </c>
      <c r="AI34" s="5">
        <f>Costs!AI39</f>
        <v>0</v>
      </c>
      <c r="AJ34" s="5">
        <f>Costs!AJ39</f>
        <v>0</v>
      </c>
      <c r="AK34" s="5">
        <f>Costs!AK39</f>
        <v>0</v>
      </c>
      <c r="AL34" s="5">
        <f>Costs!AL39</f>
        <v>0</v>
      </c>
      <c r="AM34" s="5">
        <f>Costs!AM39</f>
        <v>0</v>
      </c>
    </row>
    <row r="35" spans="3:39" ht="23.1" customHeight="1">
      <c r="C35" s="4" t="s">
        <v>155</v>
      </c>
      <c r="D35" s="11">
        <f t="shared" ref="D35:AM35" si="3">D32-D33-D34</f>
        <v>-19800</v>
      </c>
      <c r="E35" s="11">
        <f t="shared" si="3"/>
        <v>-7800</v>
      </c>
      <c r="F35" s="11">
        <f t="shared" si="3"/>
        <v>-7800</v>
      </c>
      <c r="G35" s="11">
        <f t="shared" si="3"/>
        <v>-7800</v>
      </c>
      <c r="H35" s="11">
        <f t="shared" si="3"/>
        <v>-17100</v>
      </c>
      <c r="I35" s="11">
        <f t="shared" si="3"/>
        <v>2700</v>
      </c>
      <c r="J35" s="11">
        <f t="shared" si="3"/>
        <v>-7800</v>
      </c>
      <c r="K35" s="11">
        <f t="shared" si="3"/>
        <v>-7800</v>
      </c>
      <c r="L35" s="11">
        <f t="shared" si="3"/>
        <v>-7800</v>
      </c>
      <c r="M35" s="11">
        <f t="shared" si="3"/>
        <v>-17100</v>
      </c>
      <c r="N35" s="11">
        <f t="shared" si="3"/>
        <v>2700</v>
      </c>
      <c r="O35" s="11">
        <f t="shared" si="3"/>
        <v>-7800</v>
      </c>
      <c r="P35" s="11">
        <f t="shared" si="3"/>
        <v>-7800</v>
      </c>
      <c r="Q35" s="11">
        <f t="shared" si="3"/>
        <v>-7800</v>
      </c>
      <c r="R35" s="11">
        <f t="shared" si="3"/>
        <v>-7800</v>
      </c>
      <c r="S35" s="11">
        <f t="shared" si="3"/>
        <v>-17100</v>
      </c>
      <c r="T35" s="11">
        <f t="shared" si="3"/>
        <v>2700</v>
      </c>
      <c r="U35" s="11">
        <f t="shared" si="3"/>
        <v>-17100</v>
      </c>
      <c r="V35" s="11">
        <f t="shared" si="3"/>
        <v>2700</v>
      </c>
      <c r="W35" s="11">
        <f t="shared" si="3"/>
        <v>-7800</v>
      </c>
      <c r="X35" s="11">
        <f t="shared" si="3"/>
        <v>-17100</v>
      </c>
      <c r="Y35" s="11">
        <f t="shared" si="3"/>
        <v>-6600</v>
      </c>
      <c r="Z35" s="11">
        <f t="shared" si="3"/>
        <v>2700</v>
      </c>
      <c r="AA35" s="11">
        <f t="shared" si="3"/>
        <v>-7800</v>
      </c>
      <c r="AB35" s="11">
        <f t="shared" si="3"/>
        <v>-7800</v>
      </c>
      <c r="AC35" s="11">
        <f t="shared" si="3"/>
        <v>-7800</v>
      </c>
      <c r="AD35" s="11">
        <f t="shared" si="3"/>
        <v>-17100</v>
      </c>
      <c r="AE35" s="11">
        <f t="shared" si="3"/>
        <v>2700</v>
      </c>
      <c r="AF35" s="11">
        <f t="shared" si="3"/>
        <v>-17100</v>
      </c>
      <c r="AG35" s="11">
        <f t="shared" si="3"/>
        <v>-6600</v>
      </c>
      <c r="AH35" s="11">
        <f t="shared" si="3"/>
        <v>2700</v>
      </c>
      <c r="AI35" s="11">
        <f t="shared" si="3"/>
        <v>-7800</v>
      </c>
      <c r="AJ35" s="11">
        <f t="shared" si="3"/>
        <v>-17100</v>
      </c>
      <c r="AK35" s="11">
        <f t="shared" si="3"/>
        <v>-6600</v>
      </c>
      <c r="AL35" s="11">
        <f t="shared" si="3"/>
        <v>-6600</v>
      </c>
      <c r="AM35" s="11">
        <f t="shared" si="3"/>
        <v>2700</v>
      </c>
    </row>
    <row r="36" spans="3:39" ht="23.1" customHeight="1">
      <c r="C36" s="4" t="s">
        <v>13</v>
      </c>
      <c r="D36" s="5">
        <f>D35+Assumptions!$F$26</f>
        <v>200</v>
      </c>
      <c r="E36" s="11">
        <f t="shared" ref="E36:AM36" si="4">E35+D36</f>
        <v>-7600</v>
      </c>
      <c r="F36" s="11">
        <f t="shared" si="4"/>
        <v>-15400</v>
      </c>
      <c r="G36" s="11">
        <f t="shared" si="4"/>
        <v>-23200</v>
      </c>
      <c r="H36" s="11">
        <f t="shared" si="4"/>
        <v>-40300</v>
      </c>
      <c r="I36" s="11">
        <f t="shared" si="4"/>
        <v>-37600</v>
      </c>
      <c r="J36" s="11">
        <f t="shared" si="4"/>
        <v>-45400</v>
      </c>
      <c r="K36" s="11">
        <f t="shared" si="4"/>
        <v>-53200</v>
      </c>
      <c r="L36" s="11">
        <f t="shared" si="4"/>
        <v>-61000</v>
      </c>
      <c r="M36" s="11">
        <f t="shared" si="4"/>
        <v>-78100</v>
      </c>
      <c r="N36" s="11">
        <f t="shared" si="4"/>
        <v>-75400</v>
      </c>
      <c r="O36" s="11">
        <f t="shared" si="4"/>
        <v>-83200</v>
      </c>
      <c r="P36" s="11">
        <f t="shared" si="4"/>
        <v>-91000</v>
      </c>
      <c r="Q36" s="11">
        <f t="shared" si="4"/>
        <v>-98800</v>
      </c>
      <c r="R36" s="11">
        <f t="shared" si="4"/>
        <v>-106600</v>
      </c>
      <c r="S36" s="11">
        <f t="shared" si="4"/>
        <v>-123700</v>
      </c>
      <c r="T36" s="11">
        <f t="shared" si="4"/>
        <v>-121000</v>
      </c>
      <c r="U36" s="11">
        <f t="shared" si="4"/>
        <v>-138100</v>
      </c>
      <c r="V36" s="11">
        <f t="shared" si="4"/>
        <v>-135400</v>
      </c>
      <c r="W36" s="11">
        <f t="shared" si="4"/>
        <v>-143200</v>
      </c>
      <c r="X36" s="11">
        <f t="shared" si="4"/>
        <v>-160300</v>
      </c>
      <c r="Y36" s="11">
        <f t="shared" si="4"/>
        <v>-166900</v>
      </c>
      <c r="Z36" s="11">
        <f t="shared" si="4"/>
        <v>-164200</v>
      </c>
      <c r="AA36" s="11">
        <f t="shared" si="4"/>
        <v>-172000</v>
      </c>
      <c r="AB36" s="11">
        <f t="shared" si="4"/>
        <v>-179800</v>
      </c>
      <c r="AC36" s="11">
        <f t="shared" si="4"/>
        <v>-187600</v>
      </c>
      <c r="AD36" s="11">
        <f t="shared" si="4"/>
        <v>-204700</v>
      </c>
      <c r="AE36" s="11">
        <f t="shared" si="4"/>
        <v>-202000</v>
      </c>
      <c r="AF36" s="11">
        <f t="shared" si="4"/>
        <v>-219100</v>
      </c>
      <c r="AG36" s="11">
        <f t="shared" si="4"/>
        <v>-225700</v>
      </c>
      <c r="AH36" s="11">
        <f t="shared" si="4"/>
        <v>-223000</v>
      </c>
      <c r="AI36" s="11">
        <f t="shared" si="4"/>
        <v>-230800</v>
      </c>
      <c r="AJ36" s="11">
        <f t="shared" si="4"/>
        <v>-247900</v>
      </c>
      <c r="AK36" s="11">
        <f t="shared" si="4"/>
        <v>-254500</v>
      </c>
      <c r="AL36" s="11">
        <f t="shared" si="4"/>
        <v>-261100</v>
      </c>
      <c r="AM36" s="11">
        <f t="shared" si="4"/>
        <v>-258400</v>
      </c>
    </row>
    <row r="37" spans="3:39" ht="23.1" customHeight="1">
      <c r="C37" s="4" t="s">
        <v>149</v>
      </c>
      <c r="D37" s="5">
        <f>Financing!E8</f>
        <v>281100</v>
      </c>
      <c r="E37" s="11">
        <f>0</f>
        <v>0</v>
      </c>
      <c r="F37" s="11">
        <f>0</f>
        <v>0</v>
      </c>
      <c r="G37" s="11">
        <f>0</f>
        <v>0</v>
      </c>
      <c r="H37" s="11">
        <f>0</f>
        <v>0</v>
      </c>
      <c r="I37" s="11">
        <f>0</f>
        <v>0</v>
      </c>
      <c r="J37" s="11">
        <f>0</f>
        <v>0</v>
      </c>
      <c r="K37" s="11">
        <f>0</f>
        <v>0</v>
      </c>
      <c r="L37" s="11">
        <f>0</f>
        <v>0</v>
      </c>
      <c r="M37" s="11">
        <f>0</f>
        <v>0</v>
      </c>
      <c r="N37" s="11">
        <f>0</f>
        <v>0</v>
      </c>
      <c r="O37" s="11">
        <f>0</f>
        <v>0</v>
      </c>
      <c r="P37" s="11">
        <f>0</f>
        <v>0</v>
      </c>
      <c r="Q37" s="11">
        <f>0</f>
        <v>0</v>
      </c>
      <c r="R37" s="11">
        <f>0</f>
        <v>0</v>
      </c>
      <c r="S37" s="11">
        <f>0</f>
        <v>0</v>
      </c>
      <c r="T37" s="11">
        <f>0</f>
        <v>0</v>
      </c>
      <c r="U37" s="11">
        <f>0</f>
        <v>0</v>
      </c>
      <c r="V37" s="11">
        <f>0</f>
        <v>0</v>
      </c>
      <c r="W37" s="11">
        <f>0</f>
        <v>0</v>
      </c>
      <c r="X37" s="11">
        <f>0</f>
        <v>0</v>
      </c>
      <c r="Y37" s="11">
        <f>0</f>
        <v>0</v>
      </c>
      <c r="Z37" s="11">
        <f>0</f>
        <v>0</v>
      </c>
      <c r="AA37" s="11">
        <f>0</f>
        <v>0</v>
      </c>
      <c r="AB37" s="11">
        <f>0</f>
        <v>0</v>
      </c>
      <c r="AC37" s="11">
        <f>0</f>
        <v>0</v>
      </c>
      <c r="AD37" s="11">
        <f>0</f>
        <v>0</v>
      </c>
      <c r="AE37" s="11">
        <f>0</f>
        <v>0</v>
      </c>
      <c r="AF37" s="11">
        <f>0</f>
        <v>0</v>
      </c>
      <c r="AG37" s="11">
        <f>0</f>
        <v>0</v>
      </c>
      <c r="AH37" s="11">
        <f>0</f>
        <v>0</v>
      </c>
      <c r="AI37" s="11">
        <f>0</f>
        <v>0</v>
      </c>
      <c r="AJ37" s="11">
        <f>0</f>
        <v>0</v>
      </c>
      <c r="AK37" s="11">
        <f>0</f>
        <v>0</v>
      </c>
      <c r="AL37" s="11">
        <f>0</f>
        <v>0</v>
      </c>
      <c r="AM37" s="11">
        <f>0</f>
        <v>0</v>
      </c>
    </row>
    <row r="38" spans="3:39" ht="23.1" customHeight="1">
      <c r="C38" s="4" t="s">
        <v>14</v>
      </c>
      <c r="D38" s="11">
        <f>D36+SUM($D37:D37)</f>
        <v>281300</v>
      </c>
      <c r="E38" s="11">
        <f>E36+SUM($D37:E37)</f>
        <v>273500</v>
      </c>
      <c r="F38" s="11">
        <f>F36+SUM($D37:F37)</f>
        <v>265700</v>
      </c>
      <c r="G38" s="11">
        <f>G36+SUM($D37:G37)</f>
        <v>257900</v>
      </c>
      <c r="H38" s="11">
        <f>H36+SUM($D37:H37)</f>
        <v>240800</v>
      </c>
      <c r="I38" s="11">
        <f>I36+SUM($D37:I37)</f>
        <v>243500</v>
      </c>
      <c r="J38" s="11">
        <f>J36+SUM($D37:J37)</f>
        <v>235700</v>
      </c>
      <c r="K38" s="11">
        <f>K36+SUM($D37:K37)</f>
        <v>227900</v>
      </c>
      <c r="L38" s="11">
        <f>L36+SUM($D37:L37)</f>
        <v>220100</v>
      </c>
      <c r="M38" s="11">
        <f>M36+SUM($D37:M37)</f>
        <v>203000</v>
      </c>
      <c r="N38" s="11">
        <f>N36+SUM($D37:N37)</f>
        <v>205700</v>
      </c>
      <c r="O38" s="11">
        <f>O36+SUM($D37:O37)</f>
        <v>197900</v>
      </c>
      <c r="P38" s="11">
        <f>P36+SUM($D37:P37)</f>
        <v>190100</v>
      </c>
      <c r="Q38" s="11">
        <f>Q36+SUM($D37:Q37)</f>
        <v>182300</v>
      </c>
      <c r="R38" s="11">
        <f>R36+SUM($D37:R37)</f>
        <v>174500</v>
      </c>
      <c r="S38" s="11">
        <f>S36+SUM($D37:S37)</f>
        <v>157400</v>
      </c>
      <c r="T38" s="11">
        <f>T36+SUM($D37:T37)</f>
        <v>160100</v>
      </c>
      <c r="U38" s="11">
        <f>U36+SUM($D37:U37)</f>
        <v>143000</v>
      </c>
      <c r="V38" s="11">
        <f>V36+SUM($D37:V37)</f>
        <v>145700</v>
      </c>
      <c r="W38" s="11">
        <f>W36+SUM($D37:W37)</f>
        <v>137900</v>
      </c>
      <c r="X38" s="11">
        <f>X36+SUM($D37:X37)</f>
        <v>120800</v>
      </c>
      <c r="Y38" s="11">
        <f>Y36+SUM($D37:Y37)</f>
        <v>114200</v>
      </c>
      <c r="Z38" s="11">
        <f>Z36+SUM($D37:Z37)</f>
        <v>116900</v>
      </c>
      <c r="AA38" s="11">
        <f>AA36+SUM($D37:AA37)</f>
        <v>109100</v>
      </c>
      <c r="AB38" s="11">
        <f>AB36+SUM($D37:AB37)</f>
        <v>101300</v>
      </c>
      <c r="AC38" s="11">
        <f>AC36+SUM($D37:AC37)</f>
        <v>93500</v>
      </c>
      <c r="AD38" s="11">
        <f>AD36+SUM($D37:AD37)</f>
        <v>76400</v>
      </c>
      <c r="AE38" s="11">
        <f>AE36+SUM($D37:AE37)</f>
        <v>79100</v>
      </c>
      <c r="AF38" s="11">
        <f>AF36+SUM($D37:AF37)</f>
        <v>62000</v>
      </c>
      <c r="AG38" s="11">
        <f>AG36+SUM($D37:AG37)</f>
        <v>55400</v>
      </c>
      <c r="AH38" s="11">
        <f>AH36+SUM($D37:AH37)</f>
        <v>58100</v>
      </c>
      <c r="AI38" s="11">
        <f>AI36+SUM($D37:AI37)</f>
        <v>50300</v>
      </c>
      <c r="AJ38" s="11">
        <f>AJ36+SUM($D37:AJ37)</f>
        <v>33200</v>
      </c>
      <c r="AK38" s="11">
        <f>AK36+SUM($D37:AK37)</f>
        <v>26600</v>
      </c>
      <c r="AL38" s="11">
        <f>AL36+SUM($D37:AL37)</f>
        <v>20000</v>
      </c>
      <c r="AM38" s="11">
        <f>AM36+SUM($D37:AM37)</f>
        <v>22700</v>
      </c>
    </row>
    <row r="39" spans="3:39" ht="23.1" customHeight="1">
      <c r="C39" s="4" t="s">
        <v>156</v>
      </c>
      <c r="D39" s="5">
        <f>Assumptions!$F$27</f>
        <v>20000</v>
      </c>
      <c r="E39" s="5">
        <f>Assumptions!$F$27</f>
        <v>20000</v>
      </c>
      <c r="F39" s="5">
        <f>Assumptions!$F$27</f>
        <v>20000</v>
      </c>
      <c r="G39" s="5">
        <f>Assumptions!$F$27</f>
        <v>20000</v>
      </c>
      <c r="H39" s="5">
        <f>Assumptions!$F$27</f>
        <v>20000</v>
      </c>
      <c r="I39" s="5">
        <f>Assumptions!$F$27</f>
        <v>20000</v>
      </c>
      <c r="J39" s="5">
        <f>Assumptions!$F$27</f>
        <v>20000</v>
      </c>
      <c r="K39" s="5">
        <f>Assumptions!$F$27</f>
        <v>20000</v>
      </c>
      <c r="L39" s="5">
        <f>Assumptions!$F$27</f>
        <v>20000</v>
      </c>
      <c r="M39" s="5">
        <f>Assumptions!$F$27</f>
        <v>20000</v>
      </c>
      <c r="N39" s="5">
        <f>Assumptions!$F$27</f>
        <v>20000</v>
      </c>
      <c r="O39" s="5">
        <f>Assumptions!$F$27</f>
        <v>20000</v>
      </c>
      <c r="P39" s="5">
        <f>Assumptions!$F$27</f>
        <v>20000</v>
      </c>
      <c r="Q39" s="5">
        <f>Assumptions!$F$27</f>
        <v>20000</v>
      </c>
      <c r="R39" s="5">
        <f>Assumptions!$F$27</f>
        <v>20000</v>
      </c>
      <c r="S39" s="5">
        <f>Assumptions!$F$27</f>
        <v>20000</v>
      </c>
      <c r="T39" s="5">
        <f>Assumptions!$F$27</f>
        <v>20000</v>
      </c>
      <c r="U39" s="5">
        <f>Assumptions!$F$27</f>
        <v>20000</v>
      </c>
      <c r="V39" s="5">
        <f>Assumptions!$F$27</f>
        <v>20000</v>
      </c>
      <c r="W39" s="5">
        <f>Assumptions!$F$27</f>
        <v>20000</v>
      </c>
      <c r="X39" s="5">
        <f>Assumptions!$F$27</f>
        <v>20000</v>
      </c>
      <c r="Y39" s="5">
        <f>Assumptions!$F$27</f>
        <v>20000</v>
      </c>
      <c r="Z39" s="5">
        <f>Assumptions!$F$27</f>
        <v>20000</v>
      </c>
      <c r="AA39" s="5">
        <f>Assumptions!$F$27</f>
        <v>20000</v>
      </c>
      <c r="AB39" s="5">
        <f>Assumptions!$F$27</f>
        <v>20000</v>
      </c>
      <c r="AC39" s="5">
        <f>Assumptions!$F$27</f>
        <v>20000</v>
      </c>
      <c r="AD39" s="5">
        <f>Assumptions!$F$27</f>
        <v>20000</v>
      </c>
      <c r="AE39" s="5">
        <f>Assumptions!$F$27</f>
        <v>20000</v>
      </c>
      <c r="AF39" s="5">
        <f>Assumptions!$F$27</f>
        <v>20000</v>
      </c>
      <c r="AG39" s="5">
        <f>Assumptions!$F$27</f>
        <v>20000</v>
      </c>
      <c r="AH39" s="5">
        <f>Assumptions!$F$27</f>
        <v>20000</v>
      </c>
      <c r="AI39" s="5">
        <f>Assumptions!$F$27</f>
        <v>20000</v>
      </c>
      <c r="AJ39" s="5">
        <f>Assumptions!$F$27</f>
        <v>20000</v>
      </c>
      <c r="AK39" s="5">
        <f>Assumptions!$F$27</f>
        <v>20000</v>
      </c>
      <c r="AL39" s="5">
        <f>Assumptions!$F$27</f>
        <v>20000</v>
      </c>
      <c r="AM39" s="5">
        <f>Assumptions!$F$27</f>
        <v>20000</v>
      </c>
    </row>
    <row r="40" spans="3:39" ht="23.1" customHeight="1">
      <c r="C40" s="4" t="s">
        <v>157</v>
      </c>
      <c r="D40" s="11">
        <f t="shared" ref="D40:AM40" si="5">D38-D39</f>
        <v>261300</v>
      </c>
      <c r="E40" s="11">
        <f t="shared" si="5"/>
        <v>253500</v>
      </c>
      <c r="F40" s="11">
        <f t="shared" si="5"/>
        <v>245700</v>
      </c>
      <c r="G40" s="11">
        <f t="shared" si="5"/>
        <v>237900</v>
      </c>
      <c r="H40" s="11">
        <f t="shared" si="5"/>
        <v>220800</v>
      </c>
      <c r="I40" s="11">
        <f t="shared" si="5"/>
        <v>223500</v>
      </c>
      <c r="J40" s="11">
        <f t="shared" si="5"/>
        <v>215700</v>
      </c>
      <c r="K40" s="11">
        <f t="shared" si="5"/>
        <v>207900</v>
      </c>
      <c r="L40" s="11">
        <f t="shared" si="5"/>
        <v>200100</v>
      </c>
      <c r="M40" s="11">
        <f t="shared" si="5"/>
        <v>183000</v>
      </c>
      <c r="N40" s="11">
        <f t="shared" si="5"/>
        <v>185700</v>
      </c>
      <c r="O40" s="11">
        <f t="shared" si="5"/>
        <v>177900</v>
      </c>
      <c r="P40" s="11">
        <f t="shared" si="5"/>
        <v>170100</v>
      </c>
      <c r="Q40" s="11">
        <f t="shared" si="5"/>
        <v>162300</v>
      </c>
      <c r="R40" s="11">
        <f t="shared" si="5"/>
        <v>154500</v>
      </c>
      <c r="S40" s="11">
        <f t="shared" si="5"/>
        <v>137400</v>
      </c>
      <c r="T40" s="11">
        <f t="shared" si="5"/>
        <v>140100</v>
      </c>
      <c r="U40" s="11">
        <f t="shared" si="5"/>
        <v>123000</v>
      </c>
      <c r="V40" s="11">
        <f t="shared" si="5"/>
        <v>125700</v>
      </c>
      <c r="W40" s="11">
        <f t="shared" si="5"/>
        <v>117900</v>
      </c>
      <c r="X40" s="11">
        <f t="shared" si="5"/>
        <v>100800</v>
      </c>
      <c r="Y40" s="11">
        <f t="shared" si="5"/>
        <v>94200</v>
      </c>
      <c r="Z40" s="11">
        <f t="shared" si="5"/>
        <v>96900</v>
      </c>
      <c r="AA40" s="11">
        <f t="shared" si="5"/>
        <v>89100</v>
      </c>
      <c r="AB40" s="11">
        <f t="shared" si="5"/>
        <v>81300</v>
      </c>
      <c r="AC40" s="11">
        <f t="shared" si="5"/>
        <v>73500</v>
      </c>
      <c r="AD40" s="11">
        <f t="shared" si="5"/>
        <v>56400</v>
      </c>
      <c r="AE40" s="11">
        <f t="shared" si="5"/>
        <v>59100</v>
      </c>
      <c r="AF40" s="11">
        <f t="shared" si="5"/>
        <v>42000</v>
      </c>
      <c r="AG40" s="11">
        <f t="shared" si="5"/>
        <v>35400</v>
      </c>
      <c r="AH40" s="11">
        <f t="shared" si="5"/>
        <v>38100</v>
      </c>
      <c r="AI40" s="11">
        <f t="shared" si="5"/>
        <v>30300</v>
      </c>
      <c r="AJ40" s="11">
        <f t="shared" si="5"/>
        <v>13200</v>
      </c>
      <c r="AK40" s="11">
        <f t="shared" si="5"/>
        <v>6600</v>
      </c>
      <c r="AL40" s="11">
        <f t="shared" si="5"/>
        <v>0</v>
      </c>
      <c r="AM40" s="11">
        <f t="shared" si="5"/>
        <v>2700</v>
      </c>
    </row>
    <row r="41" spans="3:39" ht="23.1" customHeight="1"/>
    <row r="42" spans="3:39" ht="23.1" customHeight="1"/>
    <row r="43" spans="3:39" ht="23.1" customHeight="1"/>
    <row r="44" spans="3:39" ht="23.1" customHeight="1"/>
    <row r="45" spans="3:39" ht="23.1" customHeight="1"/>
    <row r="46" spans="3:39" ht="23.1" customHeight="1"/>
    <row r="47" spans="3:39" ht="23.1" customHeight="1"/>
    <row r="48" spans="3:39" ht="23.1" customHeight="1"/>
    <row r="49" spans="3:39" ht="23.1" customHeight="1"/>
    <row r="50" spans="3:39" ht="23.1" customHeight="1"/>
    <row r="51" spans="3:39" ht="23.1" customHeight="1"/>
    <row r="52" spans="3:39" ht="23.1" customHeight="1"/>
    <row r="53" spans="3:39" ht="23.1" customHeight="1"/>
    <row r="54" spans="3:39" ht="30" customHeight="1">
      <c r="C54" s="3" t="s">
        <v>29</v>
      </c>
      <c r="D54" s="10">
        <v>46388</v>
      </c>
      <c r="E54" s="10">
        <v>46419</v>
      </c>
      <c r="F54" s="10">
        <v>46447</v>
      </c>
      <c r="G54" s="10">
        <v>46478</v>
      </c>
      <c r="H54" s="10">
        <v>46508</v>
      </c>
      <c r="I54" s="10">
        <v>46539</v>
      </c>
      <c r="J54" s="10">
        <v>46569</v>
      </c>
      <c r="K54" s="10">
        <v>46600</v>
      </c>
      <c r="L54" s="10">
        <v>46631</v>
      </c>
      <c r="M54" s="10">
        <v>46661</v>
      </c>
      <c r="N54" s="10">
        <v>46692</v>
      </c>
      <c r="O54" s="10">
        <v>46722</v>
      </c>
      <c r="P54" s="10">
        <v>46753</v>
      </c>
      <c r="Q54" s="10">
        <v>46784</v>
      </c>
      <c r="R54" s="10">
        <v>46813</v>
      </c>
      <c r="S54" s="10">
        <v>46844</v>
      </c>
      <c r="T54" s="10">
        <v>46874</v>
      </c>
      <c r="U54" s="10">
        <v>46905</v>
      </c>
      <c r="V54" s="10">
        <v>46935</v>
      </c>
      <c r="W54" s="10">
        <v>46966</v>
      </c>
      <c r="X54" s="10">
        <v>46997</v>
      </c>
      <c r="Y54" s="10">
        <v>47027</v>
      </c>
      <c r="Z54" s="10">
        <v>47058</v>
      </c>
      <c r="AA54" s="10">
        <v>47088</v>
      </c>
      <c r="AB54" s="10">
        <v>47119</v>
      </c>
      <c r="AC54" s="10">
        <v>47150</v>
      </c>
      <c r="AD54" s="10">
        <v>47178</v>
      </c>
      <c r="AE54" s="10">
        <v>47209</v>
      </c>
      <c r="AF54" s="10">
        <v>47239</v>
      </c>
      <c r="AG54" s="10">
        <v>47270</v>
      </c>
      <c r="AH54" s="10">
        <v>47300</v>
      </c>
      <c r="AI54" s="10">
        <v>47331</v>
      </c>
      <c r="AJ54" s="10">
        <v>47362</v>
      </c>
      <c r="AK54" s="10">
        <v>47392</v>
      </c>
      <c r="AL54" s="10">
        <v>47423</v>
      </c>
      <c r="AM54" s="10">
        <v>47453</v>
      </c>
    </row>
    <row r="55" spans="3:39" ht="23.1" customHeight="1">
      <c r="C55" s="4" t="s">
        <v>10</v>
      </c>
      <c r="D55" s="5">
        <f>Revenue!D45</f>
        <v>0</v>
      </c>
      <c r="E55" s="5">
        <f>Revenue!E45</f>
        <v>0</v>
      </c>
      <c r="F55" s="5">
        <f>Revenue!F45</f>
        <v>22000</v>
      </c>
      <c r="G55" s="5">
        <f>Revenue!G45</f>
        <v>0</v>
      </c>
      <c r="H55" s="5">
        <f>Revenue!H45</f>
        <v>22000</v>
      </c>
      <c r="I55" s="5">
        <f>Revenue!I45</f>
        <v>22000</v>
      </c>
      <c r="J55" s="5">
        <f>Revenue!J45</f>
        <v>0</v>
      </c>
      <c r="K55" s="5">
        <f>Revenue!K45</f>
        <v>0</v>
      </c>
      <c r="L55" s="5">
        <f>Revenue!L45</f>
        <v>22000</v>
      </c>
      <c r="M55" s="5">
        <f>Revenue!M45</f>
        <v>22000</v>
      </c>
      <c r="N55" s="5">
        <f>Revenue!N45</f>
        <v>22000</v>
      </c>
      <c r="O55" s="5">
        <f>Revenue!O45</f>
        <v>0</v>
      </c>
      <c r="P55" s="5">
        <f>Revenue!P45</f>
        <v>0</v>
      </c>
      <c r="Q55" s="5">
        <f>Revenue!Q45</f>
        <v>22000</v>
      </c>
      <c r="R55" s="5">
        <f>Revenue!R45</f>
        <v>22000</v>
      </c>
      <c r="S55" s="5">
        <f>Revenue!S45</f>
        <v>44000</v>
      </c>
      <c r="T55" s="5">
        <f>Revenue!T45</f>
        <v>22000</v>
      </c>
      <c r="U55" s="5">
        <f>Revenue!U45</f>
        <v>44000</v>
      </c>
      <c r="V55" s="5">
        <f>Revenue!V45</f>
        <v>0</v>
      </c>
      <c r="W55" s="5">
        <f>Revenue!W45</f>
        <v>0</v>
      </c>
      <c r="X55" s="5">
        <f>Revenue!X45</f>
        <v>44000</v>
      </c>
      <c r="Y55" s="5">
        <f>Revenue!Y45</f>
        <v>44000</v>
      </c>
      <c r="Z55" s="5">
        <f>Revenue!Z45</f>
        <v>44000</v>
      </c>
      <c r="AA55" s="5">
        <f>Revenue!AA45</f>
        <v>22000</v>
      </c>
      <c r="AB55" s="5">
        <f>Revenue!AB45</f>
        <v>22000</v>
      </c>
      <c r="AC55" s="5">
        <f>Revenue!AC45</f>
        <v>22000</v>
      </c>
      <c r="AD55" s="5">
        <f>Revenue!AD45</f>
        <v>44000</v>
      </c>
      <c r="AE55" s="5">
        <f>Revenue!AE45</f>
        <v>66000</v>
      </c>
      <c r="AF55" s="5">
        <f>Revenue!AF45</f>
        <v>66000</v>
      </c>
      <c r="AG55" s="5">
        <f>Revenue!AG45</f>
        <v>66000</v>
      </c>
      <c r="AH55" s="5">
        <f>Revenue!AH45</f>
        <v>0</v>
      </c>
      <c r="AI55" s="5">
        <f>Revenue!AI45</f>
        <v>0</v>
      </c>
      <c r="AJ55" s="5">
        <f>Revenue!AJ45</f>
        <v>66000</v>
      </c>
      <c r="AK55" s="5">
        <f>Revenue!AK45</f>
        <v>66000</v>
      </c>
      <c r="AL55" s="5">
        <f>Revenue!AL45</f>
        <v>66000</v>
      </c>
      <c r="AM55" s="5">
        <f>Revenue!AM45</f>
        <v>44000</v>
      </c>
    </row>
    <row r="56" spans="3:39" ht="23.1" customHeight="1">
      <c r="C56" s="4" t="s">
        <v>118</v>
      </c>
      <c r="D56" s="5">
        <f>Revenue!D46</f>
        <v>0</v>
      </c>
      <c r="E56" s="5">
        <f>Revenue!E46</f>
        <v>0</v>
      </c>
      <c r="F56" s="5">
        <f>Revenue!F46</f>
        <v>11000</v>
      </c>
      <c r="G56" s="5">
        <f>Revenue!G46</f>
        <v>11000</v>
      </c>
      <c r="H56" s="5">
        <f>Revenue!H46</f>
        <v>11000</v>
      </c>
      <c r="I56" s="5">
        <f>Revenue!I46</f>
        <v>22000</v>
      </c>
      <c r="J56" s="5">
        <f>Revenue!J46</f>
        <v>11000</v>
      </c>
      <c r="K56" s="5">
        <f>Revenue!K46</f>
        <v>0</v>
      </c>
      <c r="L56" s="5">
        <f>Revenue!L46</f>
        <v>11000</v>
      </c>
      <c r="M56" s="5">
        <f>Revenue!M46</f>
        <v>22000</v>
      </c>
      <c r="N56" s="5">
        <f>Revenue!N46</f>
        <v>22000</v>
      </c>
      <c r="O56" s="5">
        <f>Revenue!O46</f>
        <v>11000</v>
      </c>
      <c r="P56" s="5">
        <f>Revenue!P46</f>
        <v>0</v>
      </c>
      <c r="Q56" s="5">
        <f>Revenue!Q46</f>
        <v>11000</v>
      </c>
      <c r="R56" s="5">
        <f>Revenue!R46</f>
        <v>22000</v>
      </c>
      <c r="S56" s="5">
        <f>Revenue!S46</f>
        <v>33000</v>
      </c>
      <c r="T56" s="5">
        <f>Revenue!T46</f>
        <v>33000</v>
      </c>
      <c r="U56" s="5">
        <f>Revenue!U46</f>
        <v>33000</v>
      </c>
      <c r="V56" s="5">
        <f>Revenue!V46</f>
        <v>22000</v>
      </c>
      <c r="W56" s="5">
        <f>Revenue!W46</f>
        <v>0</v>
      </c>
      <c r="X56" s="5">
        <f>Revenue!X46</f>
        <v>22000</v>
      </c>
      <c r="Y56" s="5">
        <f>Revenue!Y46</f>
        <v>44000</v>
      </c>
      <c r="Z56" s="5">
        <f>Revenue!Z46</f>
        <v>44000</v>
      </c>
      <c r="AA56" s="5">
        <f>Revenue!AA46</f>
        <v>33000</v>
      </c>
      <c r="AB56" s="5">
        <f>Revenue!AB46</f>
        <v>22000</v>
      </c>
      <c r="AC56" s="5">
        <f>Revenue!AC46</f>
        <v>22000</v>
      </c>
      <c r="AD56" s="5">
        <f>Revenue!AD46</f>
        <v>33000</v>
      </c>
      <c r="AE56" s="5">
        <f>Revenue!AE46</f>
        <v>55000</v>
      </c>
      <c r="AF56" s="5">
        <f>Revenue!AF46</f>
        <v>66000</v>
      </c>
      <c r="AG56" s="5">
        <f>Revenue!AG46</f>
        <v>66000</v>
      </c>
      <c r="AH56" s="5">
        <f>Revenue!AH46</f>
        <v>33000</v>
      </c>
      <c r="AI56" s="5">
        <f>Revenue!AI46</f>
        <v>0</v>
      </c>
      <c r="AJ56" s="5">
        <f>Revenue!AJ46</f>
        <v>33000</v>
      </c>
      <c r="AK56" s="5">
        <f>Revenue!AK46</f>
        <v>66000</v>
      </c>
      <c r="AL56" s="5">
        <f>Revenue!AL46</f>
        <v>66000</v>
      </c>
      <c r="AM56" s="5">
        <f>Revenue!AM46</f>
        <v>55000</v>
      </c>
    </row>
    <row r="57" spans="3:39" ht="23.1" customHeight="1">
      <c r="C57" s="4" t="s">
        <v>153</v>
      </c>
      <c r="D57" s="5">
        <f>Costs!D66</f>
        <v>10500</v>
      </c>
      <c r="E57" s="5">
        <f>Costs!E66</f>
        <v>10500</v>
      </c>
      <c r="F57" s="5">
        <f>Costs!F66</f>
        <v>18990</v>
      </c>
      <c r="G57" s="5">
        <f>Costs!G66</f>
        <v>10500</v>
      </c>
      <c r="H57" s="5">
        <f>Costs!H66</f>
        <v>18990</v>
      </c>
      <c r="I57" s="5">
        <f>Costs!I66</f>
        <v>18990</v>
      </c>
      <c r="J57" s="5">
        <f>Costs!J66</f>
        <v>10500</v>
      </c>
      <c r="K57" s="5">
        <f>Costs!K66</f>
        <v>10500</v>
      </c>
      <c r="L57" s="5">
        <f>Costs!L66</f>
        <v>18990</v>
      </c>
      <c r="M57" s="5">
        <f>Costs!M66</f>
        <v>18990</v>
      </c>
      <c r="N57" s="5">
        <f>Costs!N66</f>
        <v>18990</v>
      </c>
      <c r="O57" s="5">
        <f>Costs!O66</f>
        <v>10500</v>
      </c>
      <c r="P57" s="5">
        <f>Costs!P66</f>
        <v>10500</v>
      </c>
      <c r="Q57" s="5">
        <f>Costs!Q66</f>
        <v>18990</v>
      </c>
      <c r="R57" s="5">
        <f>Costs!R66</f>
        <v>18990</v>
      </c>
      <c r="S57" s="5">
        <f>Costs!S66</f>
        <v>28680</v>
      </c>
      <c r="T57" s="5">
        <f>Costs!T66</f>
        <v>18990</v>
      </c>
      <c r="U57" s="5">
        <f>Costs!U66</f>
        <v>28680</v>
      </c>
      <c r="V57" s="5">
        <f>Costs!V66</f>
        <v>10500</v>
      </c>
      <c r="W57" s="5">
        <f>Costs!W66</f>
        <v>10500</v>
      </c>
      <c r="X57" s="5">
        <f>Costs!X66</f>
        <v>28680</v>
      </c>
      <c r="Y57" s="5">
        <f>Costs!Y66</f>
        <v>28680</v>
      </c>
      <c r="Z57" s="5">
        <f>Costs!Z66</f>
        <v>28680</v>
      </c>
      <c r="AA57" s="5">
        <f>Costs!AA66</f>
        <v>18990</v>
      </c>
      <c r="AB57" s="5">
        <f>Costs!AB66</f>
        <v>18990</v>
      </c>
      <c r="AC57" s="5">
        <f>Costs!AC66</f>
        <v>18990</v>
      </c>
      <c r="AD57" s="5">
        <f>Costs!AD66</f>
        <v>28680</v>
      </c>
      <c r="AE57" s="5">
        <f>Costs!AE66</f>
        <v>38570</v>
      </c>
      <c r="AF57" s="5">
        <f>Costs!AF66</f>
        <v>38570</v>
      </c>
      <c r="AG57" s="5">
        <f>Costs!AG66</f>
        <v>38570</v>
      </c>
      <c r="AH57" s="5">
        <f>Costs!AH66</f>
        <v>10500</v>
      </c>
      <c r="AI57" s="5">
        <f>Costs!AI66</f>
        <v>10500</v>
      </c>
      <c r="AJ57" s="5">
        <f>Costs!AJ66</f>
        <v>38570</v>
      </c>
      <c r="AK57" s="5">
        <f>Costs!AK66</f>
        <v>38570</v>
      </c>
      <c r="AL57" s="5">
        <f>Costs!AL66</f>
        <v>38570</v>
      </c>
      <c r="AM57" s="5">
        <f>Costs!AM66</f>
        <v>28680</v>
      </c>
    </row>
    <row r="58" spans="3:39" ht="23.1" customHeight="1">
      <c r="C58" s="4" t="s">
        <v>154</v>
      </c>
      <c r="D58" s="5">
        <f>Costs!D63</f>
        <v>12000</v>
      </c>
      <c r="E58" s="5">
        <f>Costs!E63</f>
        <v>0</v>
      </c>
      <c r="F58" s="5">
        <f>Costs!F63</f>
        <v>0</v>
      </c>
      <c r="G58" s="5">
        <f>Costs!G63</f>
        <v>0</v>
      </c>
      <c r="H58" s="5">
        <f>Costs!H63</f>
        <v>0</v>
      </c>
      <c r="I58" s="5">
        <f>Costs!I63</f>
        <v>0</v>
      </c>
      <c r="J58" s="5">
        <f>Costs!J63</f>
        <v>0</v>
      </c>
      <c r="K58" s="5">
        <f>Costs!K63</f>
        <v>0</v>
      </c>
      <c r="L58" s="5">
        <f>Costs!L63</f>
        <v>0</v>
      </c>
      <c r="M58" s="5">
        <f>Costs!M63</f>
        <v>0</v>
      </c>
      <c r="N58" s="5">
        <f>Costs!N63</f>
        <v>0</v>
      </c>
      <c r="O58" s="5">
        <f>Costs!O63</f>
        <v>0</v>
      </c>
      <c r="P58" s="5">
        <f>Costs!P63</f>
        <v>0</v>
      </c>
      <c r="Q58" s="5">
        <f>Costs!Q63</f>
        <v>0</v>
      </c>
      <c r="R58" s="5">
        <f>Costs!R63</f>
        <v>0</v>
      </c>
      <c r="S58" s="5">
        <f>Costs!S63</f>
        <v>0</v>
      </c>
      <c r="T58" s="5">
        <f>Costs!T63</f>
        <v>0</v>
      </c>
      <c r="U58" s="5">
        <f>Costs!U63</f>
        <v>0</v>
      </c>
      <c r="V58" s="5">
        <f>Costs!V63</f>
        <v>0</v>
      </c>
      <c r="W58" s="5">
        <f>Costs!W63</f>
        <v>0</v>
      </c>
      <c r="X58" s="5">
        <f>Costs!X63</f>
        <v>0</v>
      </c>
      <c r="Y58" s="5">
        <f>Costs!Y63</f>
        <v>0</v>
      </c>
      <c r="Z58" s="5">
        <f>Costs!Z63</f>
        <v>0</v>
      </c>
      <c r="AA58" s="5">
        <f>Costs!AA63</f>
        <v>0</v>
      </c>
      <c r="AB58" s="5">
        <f>Costs!AB63</f>
        <v>0</v>
      </c>
      <c r="AC58" s="5">
        <f>Costs!AC63</f>
        <v>0</v>
      </c>
      <c r="AD58" s="5">
        <f>Costs!AD63</f>
        <v>0</v>
      </c>
      <c r="AE58" s="5">
        <f>Costs!AE63</f>
        <v>0</v>
      </c>
      <c r="AF58" s="5">
        <f>Costs!AF63</f>
        <v>0</v>
      </c>
      <c r="AG58" s="5">
        <f>Costs!AG63</f>
        <v>0</v>
      </c>
      <c r="AH58" s="5">
        <f>Costs!AH63</f>
        <v>0</v>
      </c>
      <c r="AI58" s="5">
        <f>Costs!AI63</f>
        <v>0</v>
      </c>
      <c r="AJ58" s="5">
        <f>Costs!AJ63</f>
        <v>0</v>
      </c>
      <c r="AK58" s="5">
        <f>Costs!AK63</f>
        <v>0</v>
      </c>
      <c r="AL58" s="5">
        <f>Costs!AL63</f>
        <v>0</v>
      </c>
      <c r="AM58" s="5">
        <f>Costs!AM63</f>
        <v>0</v>
      </c>
    </row>
    <row r="59" spans="3:39" ht="23.1" customHeight="1">
      <c r="C59" s="4" t="s">
        <v>155</v>
      </c>
      <c r="D59" s="11">
        <f t="shared" ref="D59:AM59" si="6">D56-D57-D58</f>
        <v>-22500</v>
      </c>
      <c r="E59" s="11">
        <f t="shared" si="6"/>
        <v>-10500</v>
      </c>
      <c r="F59" s="11">
        <f t="shared" si="6"/>
        <v>-7990</v>
      </c>
      <c r="G59" s="11">
        <f t="shared" si="6"/>
        <v>500</v>
      </c>
      <c r="H59" s="11">
        <f t="shared" si="6"/>
        <v>-7990</v>
      </c>
      <c r="I59" s="11">
        <f t="shared" si="6"/>
        <v>3010</v>
      </c>
      <c r="J59" s="11">
        <f t="shared" si="6"/>
        <v>500</v>
      </c>
      <c r="K59" s="11">
        <f t="shared" si="6"/>
        <v>-10500</v>
      </c>
      <c r="L59" s="11">
        <f t="shared" si="6"/>
        <v>-7990</v>
      </c>
      <c r="M59" s="11">
        <f t="shared" si="6"/>
        <v>3010</v>
      </c>
      <c r="N59" s="11">
        <f t="shared" si="6"/>
        <v>3010</v>
      </c>
      <c r="O59" s="11">
        <f t="shared" si="6"/>
        <v>500</v>
      </c>
      <c r="P59" s="11">
        <f t="shared" si="6"/>
        <v>-10500</v>
      </c>
      <c r="Q59" s="11">
        <f t="shared" si="6"/>
        <v>-7990</v>
      </c>
      <c r="R59" s="11">
        <f t="shared" si="6"/>
        <v>3010</v>
      </c>
      <c r="S59" s="11">
        <f t="shared" si="6"/>
        <v>4320</v>
      </c>
      <c r="T59" s="11">
        <f t="shared" si="6"/>
        <v>14010</v>
      </c>
      <c r="U59" s="11">
        <f t="shared" si="6"/>
        <v>4320</v>
      </c>
      <c r="V59" s="11">
        <f t="shared" si="6"/>
        <v>11500</v>
      </c>
      <c r="W59" s="11">
        <f t="shared" si="6"/>
        <v>-10500</v>
      </c>
      <c r="X59" s="11">
        <f t="shared" si="6"/>
        <v>-6680</v>
      </c>
      <c r="Y59" s="11">
        <f t="shared" si="6"/>
        <v>15320</v>
      </c>
      <c r="Z59" s="11">
        <f t="shared" si="6"/>
        <v>15320</v>
      </c>
      <c r="AA59" s="11">
        <f t="shared" si="6"/>
        <v>14010</v>
      </c>
      <c r="AB59" s="11">
        <f t="shared" si="6"/>
        <v>3010</v>
      </c>
      <c r="AC59" s="11">
        <f t="shared" si="6"/>
        <v>3010</v>
      </c>
      <c r="AD59" s="11">
        <f t="shared" si="6"/>
        <v>4320</v>
      </c>
      <c r="AE59" s="11">
        <f t="shared" si="6"/>
        <v>16430</v>
      </c>
      <c r="AF59" s="11">
        <f t="shared" si="6"/>
        <v>27430</v>
      </c>
      <c r="AG59" s="11">
        <f t="shared" si="6"/>
        <v>27430</v>
      </c>
      <c r="AH59" s="11">
        <f t="shared" si="6"/>
        <v>22500</v>
      </c>
      <c r="AI59" s="11">
        <f t="shared" si="6"/>
        <v>-10500</v>
      </c>
      <c r="AJ59" s="11">
        <f t="shared" si="6"/>
        <v>-5570</v>
      </c>
      <c r="AK59" s="11">
        <f t="shared" si="6"/>
        <v>27430</v>
      </c>
      <c r="AL59" s="11">
        <f t="shared" si="6"/>
        <v>27430</v>
      </c>
      <c r="AM59" s="11">
        <f t="shared" si="6"/>
        <v>26320</v>
      </c>
    </row>
    <row r="60" spans="3:39" ht="23.1" customHeight="1">
      <c r="C60" s="4" t="s">
        <v>13</v>
      </c>
      <c r="D60" s="5">
        <f>D59+Assumptions!$G$26</f>
        <v>-2500</v>
      </c>
      <c r="E60" s="11">
        <f t="shared" ref="E60:AM60" si="7">E59+D60</f>
        <v>-13000</v>
      </c>
      <c r="F60" s="11">
        <f t="shared" si="7"/>
        <v>-20990</v>
      </c>
      <c r="G60" s="11">
        <f t="shared" si="7"/>
        <v>-20490</v>
      </c>
      <c r="H60" s="11">
        <f t="shared" si="7"/>
        <v>-28480</v>
      </c>
      <c r="I60" s="11">
        <f t="shared" si="7"/>
        <v>-25470</v>
      </c>
      <c r="J60" s="11">
        <f t="shared" si="7"/>
        <v>-24970</v>
      </c>
      <c r="K60" s="11">
        <f t="shared" si="7"/>
        <v>-35470</v>
      </c>
      <c r="L60" s="11">
        <f t="shared" si="7"/>
        <v>-43460</v>
      </c>
      <c r="M60" s="11">
        <f t="shared" si="7"/>
        <v>-40450</v>
      </c>
      <c r="N60" s="11">
        <f t="shared" si="7"/>
        <v>-37440</v>
      </c>
      <c r="O60" s="11">
        <f t="shared" si="7"/>
        <v>-36940</v>
      </c>
      <c r="P60" s="11">
        <f t="shared" si="7"/>
        <v>-47440</v>
      </c>
      <c r="Q60" s="11">
        <f t="shared" si="7"/>
        <v>-55430</v>
      </c>
      <c r="R60" s="11">
        <f t="shared" si="7"/>
        <v>-52420</v>
      </c>
      <c r="S60" s="11">
        <f t="shared" si="7"/>
        <v>-48100</v>
      </c>
      <c r="T60" s="11">
        <f t="shared" si="7"/>
        <v>-34090</v>
      </c>
      <c r="U60" s="11">
        <f t="shared" si="7"/>
        <v>-29770</v>
      </c>
      <c r="V60" s="11">
        <f t="shared" si="7"/>
        <v>-18270</v>
      </c>
      <c r="W60" s="11">
        <f t="shared" si="7"/>
        <v>-28770</v>
      </c>
      <c r="X60" s="11">
        <f t="shared" si="7"/>
        <v>-35450</v>
      </c>
      <c r="Y60" s="11">
        <f t="shared" si="7"/>
        <v>-20130</v>
      </c>
      <c r="Z60" s="11">
        <f t="shared" si="7"/>
        <v>-4810</v>
      </c>
      <c r="AA60" s="11">
        <f t="shared" si="7"/>
        <v>9200</v>
      </c>
      <c r="AB60" s="11">
        <f t="shared" si="7"/>
        <v>12210</v>
      </c>
      <c r="AC60" s="11">
        <f t="shared" si="7"/>
        <v>15220</v>
      </c>
      <c r="AD60" s="11">
        <f t="shared" si="7"/>
        <v>19540</v>
      </c>
      <c r="AE60" s="11">
        <f t="shared" si="7"/>
        <v>35970</v>
      </c>
      <c r="AF60" s="11">
        <f t="shared" si="7"/>
        <v>63400</v>
      </c>
      <c r="AG60" s="11">
        <f t="shared" si="7"/>
        <v>90830</v>
      </c>
      <c r="AH60" s="11">
        <f t="shared" si="7"/>
        <v>113330</v>
      </c>
      <c r="AI60" s="11">
        <f t="shared" si="7"/>
        <v>102830</v>
      </c>
      <c r="AJ60" s="11">
        <f t="shared" si="7"/>
        <v>97260</v>
      </c>
      <c r="AK60" s="11">
        <f t="shared" si="7"/>
        <v>124690</v>
      </c>
      <c r="AL60" s="11">
        <f t="shared" si="7"/>
        <v>152120</v>
      </c>
      <c r="AM60" s="11">
        <f t="shared" si="7"/>
        <v>178440</v>
      </c>
    </row>
    <row r="61" spans="3:39" ht="23.1" customHeight="1">
      <c r="C61" s="4" t="s">
        <v>149</v>
      </c>
      <c r="D61" s="5">
        <f>Financing!F8</f>
        <v>75430</v>
      </c>
      <c r="E61" s="11">
        <f>0</f>
        <v>0</v>
      </c>
      <c r="F61" s="11">
        <f>0</f>
        <v>0</v>
      </c>
      <c r="G61" s="11">
        <f>0</f>
        <v>0</v>
      </c>
      <c r="H61" s="11">
        <f>0</f>
        <v>0</v>
      </c>
      <c r="I61" s="11">
        <f>0</f>
        <v>0</v>
      </c>
      <c r="J61" s="11">
        <f>0</f>
        <v>0</v>
      </c>
      <c r="K61" s="11">
        <f>0</f>
        <v>0</v>
      </c>
      <c r="L61" s="11">
        <f>0</f>
        <v>0</v>
      </c>
      <c r="M61" s="11">
        <f>0</f>
        <v>0</v>
      </c>
      <c r="N61" s="11">
        <f>0</f>
        <v>0</v>
      </c>
      <c r="O61" s="11">
        <f>0</f>
        <v>0</v>
      </c>
      <c r="P61" s="11">
        <f>0</f>
        <v>0</v>
      </c>
      <c r="Q61" s="11">
        <f>0</f>
        <v>0</v>
      </c>
      <c r="R61" s="11">
        <f>0</f>
        <v>0</v>
      </c>
      <c r="S61" s="11">
        <f>0</f>
        <v>0</v>
      </c>
      <c r="T61" s="11">
        <f>0</f>
        <v>0</v>
      </c>
      <c r="U61" s="11">
        <f>0</f>
        <v>0</v>
      </c>
      <c r="V61" s="11">
        <f>0</f>
        <v>0</v>
      </c>
      <c r="W61" s="11">
        <f>0</f>
        <v>0</v>
      </c>
      <c r="X61" s="11">
        <f>0</f>
        <v>0</v>
      </c>
      <c r="Y61" s="11">
        <f>0</f>
        <v>0</v>
      </c>
      <c r="Z61" s="11">
        <f>0</f>
        <v>0</v>
      </c>
      <c r="AA61" s="11">
        <f>0</f>
        <v>0</v>
      </c>
      <c r="AB61" s="11">
        <f>0</f>
        <v>0</v>
      </c>
      <c r="AC61" s="11">
        <f>0</f>
        <v>0</v>
      </c>
      <c r="AD61" s="11">
        <f>0</f>
        <v>0</v>
      </c>
      <c r="AE61" s="11">
        <f>0</f>
        <v>0</v>
      </c>
      <c r="AF61" s="11">
        <f>0</f>
        <v>0</v>
      </c>
      <c r="AG61" s="11">
        <f>0</f>
        <v>0</v>
      </c>
      <c r="AH61" s="11">
        <f>0</f>
        <v>0</v>
      </c>
      <c r="AI61" s="11">
        <f>0</f>
        <v>0</v>
      </c>
      <c r="AJ61" s="11">
        <f>0</f>
        <v>0</v>
      </c>
      <c r="AK61" s="11">
        <f>0</f>
        <v>0</v>
      </c>
      <c r="AL61" s="11">
        <f>0</f>
        <v>0</v>
      </c>
      <c r="AM61" s="11">
        <f>0</f>
        <v>0</v>
      </c>
    </row>
    <row r="62" spans="3:39" ht="23.1" customHeight="1">
      <c r="C62" s="4" t="s">
        <v>14</v>
      </c>
      <c r="D62" s="11">
        <f>D60+SUM($D61:D61)</f>
        <v>72930</v>
      </c>
      <c r="E62" s="11">
        <f>E60+SUM($D61:E61)</f>
        <v>62430</v>
      </c>
      <c r="F62" s="11">
        <f>F60+SUM($D61:F61)</f>
        <v>54440</v>
      </c>
      <c r="G62" s="11">
        <f>G60+SUM($D61:G61)</f>
        <v>54940</v>
      </c>
      <c r="H62" s="11">
        <f>H60+SUM($D61:H61)</f>
        <v>46950</v>
      </c>
      <c r="I62" s="11">
        <f>I60+SUM($D61:I61)</f>
        <v>49960</v>
      </c>
      <c r="J62" s="11">
        <f>J60+SUM($D61:J61)</f>
        <v>50460</v>
      </c>
      <c r="K62" s="11">
        <f>K60+SUM($D61:K61)</f>
        <v>39960</v>
      </c>
      <c r="L62" s="11">
        <f>L60+SUM($D61:L61)</f>
        <v>31970</v>
      </c>
      <c r="M62" s="11">
        <f>M60+SUM($D61:M61)</f>
        <v>34980</v>
      </c>
      <c r="N62" s="11">
        <f>N60+SUM($D61:N61)</f>
        <v>37990</v>
      </c>
      <c r="O62" s="11">
        <f>O60+SUM($D61:O61)</f>
        <v>38490</v>
      </c>
      <c r="P62" s="11">
        <f>P60+SUM($D61:P61)</f>
        <v>27990</v>
      </c>
      <c r="Q62" s="11">
        <f>Q60+SUM($D61:Q61)</f>
        <v>20000</v>
      </c>
      <c r="R62" s="11">
        <f>R60+SUM($D61:R61)</f>
        <v>23010</v>
      </c>
      <c r="S62" s="11">
        <f>S60+SUM($D61:S61)</f>
        <v>27330</v>
      </c>
      <c r="T62" s="11">
        <f>T60+SUM($D61:T61)</f>
        <v>41340</v>
      </c>
      <c r="U62" s="11">
        <f>U60+SUM($D61:U61)</f>
        <v>45660</v>
      </c>
      <c r="V62" s="11">
        <f>V60+SUM($D61:V61)</f>
        <v>57160</v>
      </c>
      <c r="W62" s="11">
        <f>W60+SUM($D61:W61)</f>
        <v>46660</v>
      </c>
      <c r="X62" s="11">
        <f>X60+SUM($D61:X61)</f>
        <v>39980</v>
      </c>
      <c r="Y62" s="11">
        <f>Y60+SUM($D61:Y61)</f>
        <v>55300</v>
      </c>
      <c r="Z62" s="11">
        <f>Z60+SUM($D61:Z61)</f>
        <v>70620</v>
      </c>
      <c r="AA62" s="11">
        <f>AA60+SUM($D61:AA61)</f>
        <v>84630</v>
      </c>
      <c r="AB62" s="11">
        <f>AB60+SUM($D61:AB61)</f>
        <v>87640</v>
      </c>
      <c r="AC62" s="11">
        <f>AC60+SUM($D61:AC61)</f>
        <v>90650</v>
      </c>
      <c r="AD62" s="11">
        <f>AD60+SUM($D61:AD61)</f>
        <v>94970</v>
      </c>
      <c r="AE62" s="11">
        <f>AE60+SUM($D61:AE61)</f>
        <v>111400</v>
      </c>
      <c r="AF62" s="11">
        <f>AF60+SUM($D61:AF61)</f>
        <v>138830</v>
      </c>
      <c r="AG62" s="11">
        <f>AG60+SUM($D61:AG61)</f>
        <v>166260</v>
      </c>
      <c r="AH62" s="11">
        <f>AH60+SUM($D61:AH61)</f>
        <v>188760</v>
      </c>
      <c r="AI62" s="11">
        <f>AI60+SUM($D61:AI61)</f>
        <v>178260</v>
      </c>
      <c r="AJ62" s="11">
        <f>AJ60+SUM($D61:AJ61)</f>
        <v>172690</v>
      </c>
      <c r="AK62" s="11">
        <f>AK60+SUM($D61:AK61)</f>
        <v>200120</v>
      </c>
      <c r="AL62" s="11">
        <f>AL60+SUM($D61:AL61)</f>
        <v>227550</v>
      </c>
      <c r="AM62" s="11">
        <f>AM60+SUM($D61:AM61)</f>
        <v>253870</v>
      </c>
    </row>
    <row r="63" spans="3:39" ht="23.1" customHeight="1">
      <c r="C63" s="4" t="s">
        <v>156</v>
      </c>
      <c r="D63" s="5">
        <f>Assumptions!$G$27</f>
        <v>20000</v>
      </c>
      <c r="E63" s="5">
        <f>Assumptions!$G$27</f>
        <v>20000</v>
      </c>
      <c r="F63" s="5">
        <f>Assumptions!$G$27</f>
        <v>20000</v>
      </c>
      <c r="G63" s="5">
        <f>Assumptions!$G$27</f>
        <v>20000</v>
      </c>
      <c r="H63" s="5">
        <f>Assumptions!$G$27</f>
        <v>20000</v>
      </c>
      <c r="I63" s="5">
        <f>Assumptions!$G$27</f>
        <v>20000</v>
      </c>
      <c r="J63" s="5">
        <f>Assumptions!$G$27</f>
        <v>20000</v>
      </c>
      <c r="K63" s="5">
        <f>Assumptions!$G$27</f>
        <v>20000</v>
      </c>
      <c r="L63" s="5">
        <f>Assumptions!$G$27</f>
        <v>20000</v>
      </c>
      <c r="M63" s="5">
        <f>Assumptions!$G$27</f>
        <v>20000</v>
      </c>
      <c r="N63" s="5">
        <f>Assumptions!$G$27</f>
        <v>20000</v>
      </c>
      <c r="O63" s="5">
        <f>Assumptions!$G$27</f>
        <v>20000</v>
      </c>
      <c r="P63" s="5">
        <f>Assumptions!$G$27</f>
        <v>20000</v>
      </c>
      <c r="Q63" s="5">
        <f>Assumptions!$G$27</f>
        <v>20000</v>
      </c>
      <c r="R63" s="5">
        <f>Assumptions!$G$27</f>
        <v>20000</v>
      </c>
      <c r="S63" s="5">
        <f>Assumptions!$G$27</f>
        <v>20000</v>
      </c>
      <c r="T63" s="5">
        <f>Assumptions!$G$27</f>
        <v>20000</v>
      </c>
      <c r="U63" s="5">
        <f>Assumptions!$G$27</f>
        <v>20000</v>
      </c>
      <c r="V63" s="5">
        <f>Assumptions!$G$27</f>
        <v>20000</v>
      </c>
      <c r="W63" s="5">
        <f>Assumptions!$G$27</f>
        <v>20000</v>
      </c>
      <c r="X63" s="5">
        <f>Assumptions!$G$27</f>
        <v>20000</v>
      </c>
      <c r="Y63" s="5">
        <f>Assumptions!$G$27</f>
        <v>20000</v>
      </c>
      <c r="Z63" s="5">
        <f>Assumptions!$G$27</f>
        <v>20000</v>
      </c>
      <c r="AA63" s="5">
        <f>Assumptions!$G$27</f>
        <v>20000</v>
      </c>
      <c r="AB63" s="5">
        <f>Assumptions!$G$27</f>
        <v>20000</v>
      </c>
      <c r="AC63" s="5">
        <f>Assumptions!$G$27</f>
        <v>20000</v>
      </c>
      <c r="AD63" s="5">
        <f>Assumptions!$G$27</f>
        <v>20000</v>
      </c>
      <c r="AE63" s="5">
        <f>Assumptions!$G$27</f>
        <v>20000</v>
      </c>
      <c r="AF63" s="5">
        <f>Assumptions!$G$27</f>
        <v>20000</v>
      </c>
      <c r="AG63" s="5">
        <f>Assumptions!$G$27</f>
        <v>20000</v>
      </c>
      <c r="AH63" s="5">
        <f>Assumptions!$G$27</f>
        <v>20000</v>
      </c>
      <c r="AI63" s="5">
        <f>Assumptions!$G$27</f>
        <v>20000</v>
      </c>
      <c r="AJ63" s="5">
        <f>Assumptions!$G$27</f>
        <v>20000</v>
      </c>
      <c r="AK63" s="5">
        <f>Assumptions!$G$27</f>
        <v>20000</v>
      </c>
      <c r="AL63" s="5">
        <f>Assumptions!$G$27</f>
        <v>20000</v>
      </c>
      <c r="AM63" s="5">
        <f>Assumptions!$G$27</f>
        <v>20000</v>
      </c>
    </row>
    <row r="64" spans="3:39" ht="23.1" customHeight="1">
      <c r="C64" s="4" t="s">
        <v>157</v>
      </c>
      <c r="D64" s="11">
        <f t="shared" ref="D64:AM64" si="8">D62-D63</f>
        <v>52930</v>
      </c>
      <c r="E64" s="11">
        <f t="shared" si="8"/>
        <v>42430</v>
      </c>
      <c r="F64" s="11">
        <f t="shared" si="8"/>
        <v>34440</v>
      </c>
      <c r="G64" s="11">
        <f t="shared" si="8"/>
        <v>34940</v>
      </c>
      <c r="H64" s="11">
        <f t="shared" si="8"/>
        <v>26950</v>
      </c>
      <c r="I64" s="11">
        <f t="shared" si="8"/>
        <v>29960</v>
      </c>
      <c r="J64" s="11">
        <f t="shared" si="8"/>
        <v>30460</v>
      </c>
      <c r="K64" s="11">
        <f t="shared" si="8"/>
        <v>19960</v>
      </c>
      <c r="L64" s="11">
        <f t="shared" si="8"/>
        <v>11970</v>
      </c>
      <c r="M64" s="11">
        <f t="shared" si="8"/>
        <v>14980</v>
      </c>
      <c r="N64" s="11">
        <f t="shared" si="8"/>
        <v>17990</v>
      </c>
      <c r="O64" s="11">
        <f t="shared" si="8"/>
        <v>18490</v>
      </c>
      <c r="P64" s="11">
        <f t="shared" si="8"/>
        <v>7990</v>
      </c>
      <c r="Q64" s="11">
        <f t="shared" si="8"/>
        <v>0</v>
      </c>
      <c r="R64" s="11">
        <f t="shared" si="8"/>
        <v>3010</v>
      </c>
      <c r="S64" s="11">
        <f t="shared" si="8"/>
        <v>7330</v>
      </c>
      <c r="T64" s="11">
        <f t="shared" si="8"/>
        <v>21340</v>
      </c>
      <c r="U64" s="11">
        <f t="shared" si="8"/>
        <v>25660</v>
      </c>
      <c r="V64" s="11">
        <f t="shared" si="8"/>
        <v>37160</v>
      </c>
      <c r="W64" s="11">
        <f t="shared" si="8"/>
        <v>26660</v>
      </c>
      <c r="X64" s="11">
        <f t="shared" si="8"/>
        <v>19980</v>
      </c>
      <c r="Y64" s="11">
        <f t="shared" si="8"/>
        <v>35300</v>
      </c>
      <c r="Z64" s="11">
        <f t="shared" si="8"/>
        <v>50620</v>
      </c>
      <c r="AA64" s="11">
        <f t="shared" si="8"/>
        <v>64630</v>
      </c>
      <c r="AB64" s="11">
        <f t="shared" si="8"/>
        <v>67640</v>
      </c>
      <c r="AC64" s="11">
        <f t="shared" si="8"/>
        <v>70650</v>
      </c>
      <c r="AD64" s="11">
        <f t="shared" si="8"/>
        <v>74970</v>
      </c>
      <c r="AE64" s="11">
        <f t="shared" si="8"/>
        <v>91400</v>
      </c>
      <c r="AF64" s="11">
        <f t="shared" si="8"/>
        <v>118830</v>
      </c>
      <c r="AG64" s="11">
        <f t="shared" si="8"/>
        <v>146260</v>
      </c>
      <c r="AH64" s="11">
        <f t="shared" si="8"/>
        <v>168760</v>
      </c>
      <c r="AI64" s="11">
        <f t="shared" si="8"/>
        <v>158260</v>
      </c>
      <c r="AJ64" s="11">
        <f t="shared" si="8"/>
        <v>152690</v>
      </c>
      <c r="AK64" s="11">
        <f t="shared" si="8"/>
        <v>180120</v>
      </c>
      <c r="AL64" s="11">
        <f t="shared" si="8"/>
        <v>207550</v>
      </c>
      <c r="AM64" s="11">
        <f t="shared" si="8"/>
        <v>233870</v>
      </c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F17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6" ht="23.1" customHeight="1">
      <c r="C1" s="14"/>
      <c r="D1" s="14"/>
      <c r="E1" s="14"/>
      <c r="F1" s="14"/>
    </row>
    <row r="2" spans="3:6" ht="23.1" customHeight="1">
      <c r="C2" s="15" t="s">
        <v>212</v>
      </c>
      <c r="D2" s="14"/>
      <c r="E2" s="14"/>
      <c r="F2" s="14"/>
    </row>
    <row r="3" spans="3:6" ht="23.1" customHeight="1">
      <c r="C3" s="16" t="s">
        <v>208</v>
      </c>
      <c r="D3" s="14"/>
      <c r="E3" s="14"/>
      <c r="F3" s="14"/>
    </row>
    <row r="4" spans="3:6" ht="23.1" customHeight="1">
      <c r="C4" s="14"/>
      <c r="D4" s="14"/>
      <c r="E4" s="14"/>
      <c r="F4" s="14"/>
    </row>
    <row r="5" spans="3:6" ht="30" customHeight="1">
      <c r="C5" s="3" t="s">
        <v>158</v>
      </c>
      <c r="D5" s="3" t="s">
        <v>27</v>
      </c>
      <c r="E5" s="3" t="s">
        <v>28</v>
      </c>
      <c r="F5" s="3" t="s">
        <v>29</v>
      </c>
    </row>
    <row r="6" spans="3:6" ht="23.1" customHeight="1">
      <c r="C6" s="11" t="s">
        <v>148</v>
      </c>
      <c r="D6" s="11">
        <f>Assumptions!$E$26</f>
        <v>20000</v>
      </c>
      <c r="E6" s="11">
        <f>Assumptions!$F$26</f>
        <v>20000</v>
      </c>
      <c r="F6" s="11">
        <f>Assumptions!$G$26</f>
        <v>20000</v>
      </c>
    </row>
    <row r="7" spans="3:6" ht="23.1" customHeight="1">
      <c r="C7" s="11" t="s">
        <v>159</v>
      </c>
      <c r="D7" s="11">
        <f>MAX(0,-MIN('Cash Flow'!D12:AM12))</f>
        <v>83000</v>
      </c>
      <c r="E7" s="11">
        <f>MAX(0,-MIN('Cash Flow'!D36:AM36))</f>
        <v>261100</v>
      </c>
      <c r="F7" s="11">
        <f>MAX(0,-MIN('Cash Flow'!D60:AM60))</f>
        <v>55430</v>
      </c>
    </row>
    <row r="8" spans="3:6" ht="23.1" customHeight="1">
      <c r="C8" s="11" t="s">
        <v>160</v>
      </c>
      <c r="D8" s="11">
        <f>MAX(0,Assumptions!$E$27-MIN('Cash Flow'!D12:AM12))</f>
        <v>103000</v>
      </c>
      <c r="E8" s="11">
        <f>MAX(0,Assumptions!$F$27-MIN('Cash Flow'!D36:AM36))</f>
        <v>281100</v>
      </c>
      <c r="F8" s="11">
        <f>MAX(0,Assumptions!$G$27-MIN('Cash Flow'!D60:AM60))</f>
        <v>75430</v>
      </c>
    </row>
    <row r="9" spans="3:6" ht="23.1" customHeight="1">
      <c r="C9" s="11" t="s">
        <v>161</v>
      </c>
      <c r="D9" s="11">
        <f>Assumptions!$E$27</f>
        <v>20000</v>
      </c>
      <c r="E9" s="11">
        <f>Assumptions!$F$27</f>
        <v>20000</v>
      </c>
      <c r="F9" s="11">
        <f>Assumptions!$G$27</f>
        <v>20000</v>
      </c>
    </row>
    <row r="10" spans="3:6" ht="23.1" customHeight="1">
      <c r="C10" s="11" t="s">
        <v>162</v>
      </c>
      <c r="D10" s="11">
        <f>MIN('Cash Flow'!D12:AM12)</f>
        <v>-83000</v>
      </c>
      <c r="E10" s="11">
        <f>MIN('Cash Flow'!D36:AM36)</f>
        <v>-261100</v>
      </c>
      <c r="F10" s="11">
        <f>MIN('Cash Flow'!D60:AM60)</f>
        <v>-55430</v>
      </c>
    </row>
    <row r="11" spans="3:6" ht="23.1" customHeight="1">
      <c r="C11" s="11" t="s">
        <v>163</v>
      </c>
      <c r="D11" s="11">
        <f>D6+D8</f>
        <v>123000</v>
      </c>
      <c r="E11" s="11">
        <f>E6+E8</f>
        <v>301100</v>
      </c>
      <c r="F11" s="11">
        <f>F6+F8</f>
        <v>95430</v>
      </c>
    </row>
    <row r="12" spans="3:6" ht="23.1" customHeight="1">
      <c r="C12" s="11" t="s">
        <v>164</v>
      </c>
      <c r="D12" s="11" t="s">
        <v>165</v>
      </c>
      <c r="E12" s="11" t="s">
        <v>165</v>
      </c>
      <c r="F12" s="11" t="s">
        <v>165</v>
      </c>
    </row>
    <row r="13" spans="3:6" ht="23.1" customHeight="1">
      <c r="C13" s="14"/>
      <c r="D13" s="14"/>
      <c r="E13" s="14"/>
      <c r="F13" s="14"/>
    </row>
    <row r="14" spans="3:6" ht="23.1" customHeight="1">
      <c r="C14" s="11" t="s">
        <v>166</v>
      </c>
      <c r="D14" s="14"/>
      <c r="E14" s="14"/>
      <c r="F14" s="14"/>
    </row>
    <row r="15" spans="3:6" ht="23.1" customHeight="1">
      <c r="C15" s="17" t="s">
        <v>167</v>
      </c>
      <c r="D15" s="14"/>
      <c r="E15" s="14"/>
      <c r="F15" s="14"/>
    </row>
    <row r="16" spans="3:6" ht="23.1" customHeight="1">
      <c r="C16" s="17" t="s">
        <v>168</v>
      </c>
      <c r="D16" s="14"/>
      <c r="E16" s="14"/>
      <c r="F16" s="14"/>
    </row>
    <row r="17" spans="3:6" ht="23.1" customHeight="1">
      <c r="C17" s="17" t="s">
        <v>169</v>
      </c>
      <c r="D17" s="14"/>
      <c r="E17" s="14"/>
      <c r="F17" s="14"/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F15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1" width="14" customWidth="1"/>
  </cols>
  <sheetData>
    <row r="1" spans="3:6" ht="23.1" customHeight="1"/>
    <row r="2" spans="3:6" ht="23.1" customHeight="1">
      <c r="C2" s="1" t="s">
        <v>213</v>
      </c>
    </row>
    <row r="3" spans="3:6" ht="23.1" customHeight="1">
      <c r="C3" s="2" t="s">
        <v>208</v>
      </c>
    </row>
    <row r="4" spans="3:6" ht="23.1" customHeight="1"/>
    <row r="5" spans="3:6" ht="30" customHeight="1">
      <c r="C5" s="3" t="s">
        <v>170</v>
      </c>
      <c r="D5" s="3" t="s">
        <v>27</v>
      </c>
      <c r="E5" s="3" t="s">
        <v>28</v>
      </c>
      <c r="F5" s="3" t="s">
        <v>29</v>
      </c>
    </row>
    <row r="6" spans="3:6" ht="23.1" customHeight="1">
      <c r="C6" s="4" t="s">
        <v>171</v>
      </c>
      <c r="D6" s="12">
        <f>SUM('Income Statement'!D8:F8)-SUM(Revenue!D9:AM9)</f>
        <v>0</v>
      </c>
      <c r="E6" s="12">
        <f>SUM('Income Statement'!G8:I8)-SUM(Revenue!D27:AM27)</f>
        <v>0</v>
      </c>
      <c r="F6" s="12">
        <f>SUM('Income Statement'!J8:L8)-SUM(Revenue!D45:AM45)</f>
        <v>0</v>
      </c>
    </row>
    <row r="7" spans="3:6" ht="23.1" customHeight="1">
      <c r="C7" s="4" t="s">
        <v>172</v>
      </c>
      <c r="D7" s="12">
        <f>SUM('Income Statement'!D15:F15)-SUM(Costs!D17:AM17)</f>
        <v>0</v>
      </c>
      <c r="E7" s="12">
        <f>SUM('Income Statement'!G15:I15)-SUM(Costs!D41:AM41)</f>
        <v>0</v>
      </c>
      <c r="F7" s="12">
        <f>SUM('Income Statement'!J15:L15)-SUM(Costs!D65:AM65)</f>
        <v>0</v>
      </c>
    </row>
    <row r="8" spans="3:6" ht="23.1" customHeight="1">
      <c r="C8" s="4" t="s">
        <v>173</v>
      </c>
      <c r="D8" s="12">
        <f>MAX(ABS('Balance Sheet'!D21),ABS('Balance Sheet'!E21),ABS('Balance Sheet'!F21))</f>
        <v>5.8207660913467407E-11</v>
      </c>
      <c r="E8" s="12">
        <f>MAX(ABS('Balance Sheet'!G21),ABS('Balance Sheet'!H21),ABS('Balance Sheet'!I21))</f>
        <v>5.8207660913467407E-11</v>
      </c>
      <c r="F8" s="12">
        <f>MAX(ABS('Balance Sheet'!J21),ABS('Balance Sheet'!K21),ABS('Balance Sheet'!L21))</f>
        <v>0</v>
      </c>
    </row>
    <row r="9" spans="3:6" ht="23.1" customHeight="1">
      <c r="C9" s="4" t="s">
        <v>174</v>
      </c>
      <c r="D9" s="12">
        <f>MIN('Cash Flow'!D16:AM16)</f>
        <v>0</v>
      </c>
      <c r="E9" s="12">
        <f>MIN('Cash Flow'!D40:AM40)</f>
        <v>0</v>
      </c>
      <c r="F9" s="12">
        <f>MIN('Cash Flow'!D64:AM64)</f>
        <v>0</v>
      </c>
    </row>
    <row r="10" spans="3:6" ht="23.1" customHeight="1">
      <c r="C10" s="4" t="s">
        <v>175</v>
      </c>
      <c r="D10" s="12">
        <f>MIN(Revenue!D15:AM15)</f>
        <v>0</v>
      </c>
      <c r="E10" s="12">
        <f>MIN(Revenue!D33:AM33)</f>
        <v>140</v>
      </c>
      <c r="F10" s="12">
        <f>MIN(Revenue!D51:AM51)</f>
        <v>30</v>
      </c>
    </row>
    <row r="11" spans="3:6" ht="23.1" customHeight="1">
      <c r="C11" s="4" t="s">
        <v>176</v>
      </c>
      <c r="D11" s="12">
        <f>Assumptions!$E$30-Assumptions!$E$31</f>
        <v>80</v>
      </c>
      <c r="E11" s="12">
        <f>Assumptions!$F$30-Assumptions!$F$31</f>
        <v>80</v>
      </c>
      <c r="F11" s="12">
        <f>Assumptions!$G$30-Assumptions!$G$31</f>
        <v>80</v>
      </c>
    </row>
    <row r="12" spans="3:6" ht="23.1" customHeight="1">
      <c r="C12" s="4" t="s">
        <v>177</v>
      </c>
      <c r="D12" s="12">
        <f>SUM(Revenue!D8:AM8)-SUM(Assumptions!E10:E12)</f>
        <v>0</v>
      </c>
      <c r="E12" s="12">
        <f>SUM(Revenue!D26:AM26)-SUM(Assumptions!F10:F12)</f>
        <v>0</v>
      </c>
      <c r="F12" s="12">
        <f>SUM(Revenue!D44:AM44)-SUM(Assumptions!G10:G12)</f>
        <v>0</v>
      </c>
    </row>
    <row r="13" spans="3:6" ht="23.1" customHeight="1">
      <c r="C13" s="4" t="s">
        <v>178</v>
      </c>
      <c r="D13" s="11" t="str">
        <f>IF(AND(ABS(D6)&lt;0.01,ABS(D7)&lt;0.01,D8&lt;0.01,D9&gt;=-0.01,D10&gt;=0,D11&gt;=0,ABS(D12)&lt;0.01,D14="通过",D15&lt;0.01),"通过","失败")</f>
        <v>通过</v>
      </c>
      <c r="E13" s="11" t="str">
        <f>IF(AND(ABS(E6)&lt;0.01,ABS(E7)&lt;0.01,E8&lt;0.01,E9&gt;=-0.01,E10&gt;=0,E11&gt;=0,ABS(E12)&lt;0.01,E14="通过",E15&lt;0.01),"通过","失败")</f>
        <v>通过</v>
      </c>
      <c r="F13" s="11" t="str">
        <f>IF(AND(ABS(F6)&lt;0.01,ABS(F7)&lt;0.01,F8&lt;0.01,F9&gt;=-0.01,F10&gt;=0,F11&gt;=0,ABS(F12)&lt;0.01,F14="通过",F15&lt;0.01),"通过","失败")</f>
        <v>通过</v>
      </c>
    </row>
    <row r="14" spans="3:6" ht="16.5">
      <c r="C14" t="s">
        <v>179</v>
      </c>
      <c r="D14" s="13" t="str">
        <f>IF(AND(COUNT(Assumptions!E10:E32)=23,MIN(Assumptions!E10:E32)&gt;=0,Assumptions!E13&gt;0,Assumptions!E14&gt;0,Assumptions!E25&gt;0,Assumptions!E28&lt;=1,Assumptions!E29&lt;=1),"通过","失败")</f>
        <v>通过</v>
      </c>
      <c r="E14" s="13" t="str">
        <f>IF(AND(COUNT(Assumptions!F10:F32)=23,MIN(Assumptions!F10:F32)&gt;=0,Assumptions!F13&gt;0,Assumptions!F14&gt;0,Assumptions!F25&gt;0,Assumptions!F28&lt;=1,Assumptions!F29&lt;=1),"通过","失败")</f>
        <v>通过</v>
      </c>
      <c r="F14" s="13" t="str">
        <f>IF(AND(COUNT(Assumptions!G10:G32)=23,MIN(Assumptions!G10:G32)&gt;=0,Assumptions!G13&gt;0,Assumptions!G14&gt;0,Assumptions!G25&gt;0,Assumptions!G28&lt;=1,Assumptions!G29&lt;=1),"通过","失败")</f>
        <v>通过</v>
      </c>
    </row>
    <row r="15" spans="3:6" ht="16.5">
      <c r="C15" t="s">
        <v>180</v>
      </c>
      <c r="D15" s="13">
        <f>MAX(Revenue!D16:AM16)</f>
        <v>0</v>
      </c>
      <c r="E15" s="13">
        <f>MAX(Revenue!D34:AM34)</f>
        <v>0</v>
      </c>
      <c r="F15" s="13">
        <f>MAX(Revenue!D52:AM52)</f>
        <v>0</v>
      </c>
    </row>
  </sheetData>
  <phoneticPr fontId="9" type="noConversion"/>
  <printOptions horizontalCentered="1"/>
  <pageMargins left="0.75" right="0.75" top="1" bottom="1" header="0.5" footer="0.5"/>
  <pageSetup paperSize="8" scale="95" fitToWidth="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G1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3.5"/>
  <cols>
    <col min="1" max="2" width="2" customWidth="1"/>
    <col min="3" max="3" width="33" customWidth="1"/>
    <col min="4" max="4" width="26" customWidth="1"/>
    <col min="5" max="5" width="78" customWidth="1"/>
    <col min="6" max="6" width="16" customWidth="1"/>
    <col min="7" max="7" width="70" customWidth="1"/>
    <col min="8" max="41" width="14" customWidth="1"/>
  </cols>
  <sheetData>
    <row r="1" spans="3:7" ht="23.1" customHeight="1"/>
    <row r="2" spans="3:7" ht="23.1" customHeight="1">
      <c r="C2" s="1" t="s">
        <v>214</v>
      </c>
    </row>
    <row r="3" spans="3:7" ht="23.1" customHeight="1">
      <c r="C3" s="2" t="s">
        <v>208</v>
      </c>
    </row>
    <row r="4" spans="3:7" ht="23.1" customHeight="1"/>
    <row r="5" spans="3:7" ht="30" customHeight="1">
      <c r="C5" s="3" t="s">
        <v>181</v>
      </c>
      <c r="D5" s="3" t="s">
        <v>182</v>
      </c>
      <c r="E5" s="3" t="s">
        <v>183</v>
      </c>
      <c r="F5" s="3" t="s">
        <v>184</v>
      </c>
      <c r="G5" s="3" t="s">
        <v>166</v>
      </c>
    </row>
    <row r="6" spans="3:7" ht="48" customHeight="1">
      <c r="C6" s="8" t="s">
        <v>185</v>
      </c>
      <c r="D6" s="8" t="s">
        <v>186</v>
      </c>
      <c r="E6" s="8" t="s">
        <v>199</v>
      </c>
      <c r="F6" s="8" t="s">
        <v>187</v>
      </c>
      <c r="G6" s="8" t="s">
        <v>200</v>
      </c>
    </row>
    <row r="7" spans="3:7" ht="48" customHeight="1">
      <c r="C7" s="8" t="s">
        <v>188</v>
      </c>
      <c r="D7" s="8" t="s">
        <v>189</v>
      </c>
      <c r="E7" s="8" t="s">
        <v>201</v>
      </c>
      <c r="F7" s="8" t="s">
        <v>187</v>
      </c>
      <c r="G7" s="8" t="s">
        <v>190</v>
      </c>
    </row>
    <row r="8" spans="3:7" ht="48" customHeight="1">
      <c r="C8" s="8" t="s">
        <v>191</v>
      </c>
      <c r="D8" s="8" t="s">
        <v>192</v>
      </c>
      <c r="E8" s="8" t="s">
        <v>193</v>
      </c>
      <c r="F8" s="8" t="s">
        <v>194</v>
      </c>
      <c r="G8" s="8" t="s">
        <v>195</v>
      </c>
    </row>
    <row r="9" spans="3:7" ht="48" customHeight="1">
      <c r="C9" s="8" t="s">
        <v>196</v>
      </c>
      <c r="D9" s="8" t="s">
        <v>197</v>
      </c>
      <c r="E9" s="8" t="s">
        <v>202</v>
      </c>
      <c r="F9" s="8" t="s">
        <v>187</v>
      </c>
      <c r="G9" s="8" t="s">
        <v>203</v>
      </c>
    </row>
    <row r="10" spans="3:7" ht="48" customHeight="1">
      <c r="C10" s="8" t="s">
        <v>198</v>
      </c>
      <c r="D10" s="8" t="s">
        <v>204</v>
      </c>
      <c r="E10" s="8" t="s">
        <v>205</v>
      </c>
      <c r="F10" s="8" t="s">
        <v>187</v>
      </c>
      <c r="G10" s="8" t="s">
        <v>206</v>
      </c>
    </row>
  </sheetData>
  <phoneticPr fontId="9" type="noConversion"/>
  <printOptions horizontalCentered="1"/>
  <pageMargins left="0.75" right="0.75" top="1" bottom="1" header="0.5" footer="0.5"/>
  <pageSetup paperSize="8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20</vt:i4>
      </vt:variant>
    </vt:vector>
  </HeadingPairs>
  <TitlesOfParts>
    <vt:vector size="30" baseType="lpstr">
      <vt:lpstr>Summary</vt:lpstr>
      <vt:lpstr>Assumptions</vt:lpstr>
      <vt:lpstr>Revenue</vt:lpstr>
      <vt:lpstr>Costs</vt:lpstr>
      <vt:lpstr>Income Statement</vt:lpstr>
      <vt:lpstr>Balance Sheet</vt:lpstr>
      <vt:lpstr>Cash Flow</vt:lpstr>
      <vt:lpstr>Financing</vt:lpstr>
      <vt:lpstr>Checks</vt:lpstr>
      <vt:lpstr>Sources</vt:lpstr>
      <vt:lpstr>Assumptions!Print_Area</vt:lpstr>
      <vt:lpstr>'Balance Sheet'!Print_Area</vt:lpstr>
      <vt:lpstr>'Cash Flow'!Print_Area</vt:lpstr>
      <vt:lpstr>Checks!Print_Area</vt:lpstr>
      <vt:lpstr>Costs!Print_Area</vt:lpstr>
      <vt:lpstr>Financing!Print_Area</vt:lpstr>
      <vt:lpstr>'Income Statement'!Print_Area</vt:lpstr>
      <vt:lpstr>Revenue!Print_Area</vt:lpstr>
      <vt:lpstr>Sources!Print_Area</vt:lpstr>
      <vt:lpstr>Summary!Print_Area</vt:lpstr>
      <vt:lpstr>Assumptions!Print_Titles</vt:lpstr>
      <vt:lpstr>'Balance Sheet'!Print_Titles</vt:lpstr>
      <vt:lpstr>'Cash Flow'!Print_Titles</vt:lpstr>
      <vt:lpstr>Checks!Print_Titles</vt:lpstr>
      <vt:lpstr>Costs!Print_Titles</vt:lpstr>
      <vt:lpstr>Financing!Print_Titles</vt:lpstr>
      <vt:lpstr>'Income Statement'!Print_Titles</vt:lpstr>
      <vt:lpstr>Revenue!Print_Titles</vt:lpstr>
      <vt:lpstr>Sources!Print_Titles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Blocky Studio</dc:creator>
  <ns0:lastModifiedBy>Blocky Studio</ns0:lastModifiedBy>
  <ns0:lastPrinted>2026-10-02T16:44:59Z</ns0:lastPrinted>
  <ns2:created xsi:type="dcterms:W3CDTF">2026-10-02T16:35:08Z</ns2:created>
  <ns2:modified xsi:type="dcterms:W3CDTF">2026-10-02T16:45:00Z</ns2:modified>
</ns0:coreProperties>
</file>